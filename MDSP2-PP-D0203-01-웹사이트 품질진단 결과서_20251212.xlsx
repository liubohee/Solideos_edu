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E:\범정부 마이데이터 구축 2차_2025년\02_개발산출물\03. 구현인도\02. 디자인 구현\디자인 테스트\웹사이트품질진단결과서\"/>
    </mc:Choice>
  </mc:AlternateContent>
  <xr:revisionPtr revIDLastSave="0" documentId="8_{137C0B21-F7FD-42F5-9B5D-4765A9600D6C}" xr6:coauthVersionLast="47" xr6:coauthVersionMax="47" xr10:uidLastSave="{00000000-0000-0000-0000-000000000000}"/>
  <bookViews>
    <workbookView xWindow="-28920" yWindow="1830" windowWidth="29040" windowHeight="15720" tabRatio="883" firstSheet="2" activeTab="11" xr2:uid="{00000000-000D-0000-FFFF-FFFF00000000}"/>
  </bookViews>
  <sheets>
    <sheet name="웹접근성체크리스트" sheetId="13" state="hidden" r:id="rId1"/>
    <sheet name="웹접근성체크리스트_Flex포함" sheetId="6" state="hidden" r:id="rId2"/>
    <sheet name="표지" sheetId="26" r:id="rId3"/>
    <sheet name="개정이력" sheetId="27" r:id="rId4"/>
    <sheet name="웹사이트 품질진단(종합)" sheetId="39" r:id="rId5"/>
    <sheet name="1.호환성" sheetId="41" r:id="rId6"/>
    <sheet name="1.호환성(모바일)" sheetId="43" r:id="rId7"/>
    <sheet name="2.접근성" sheetId="25" r:id="rId8"/>
    <sheet name="2.접근성(모바일)" sheetId="44" r:id="rId9"/>
    <sheet name="3.개방성" sheetId="33" r:id="rId10"/>
    <sheet name="4.접속성" sheetId="34" r:id="rId11"/>
    <sheet name="5.편의성" sheetId="36" r:id="rId12"/>
    <sheet name="구분선택" sheetId="42" state="hidden" r:id="rId13"/>
    <sheet name="CSS_Markup 유효성검사" sheetId="15" state="hidden" r:id="rId14"/>
    <sheet name="Sheet1" sheetId="22" state="hidden" r:id="rId15"/>
    <sheet name="Sheet9" sheetId="30" state="hidden" r:id="rId16"/>
  </sheets>
  <definedNames>
    <definedName name="_xlnm._FilterDatabase" localSheetId="7" hidden="1">'2.접근성'!$A$3:$Q$27</definedName>
    <definedName name="_xlnm._FilterDatabase" localSheetId="8" hidden="1">'2.접근성(모바일)'!$A$3:$AF$27</definedName>
    <definedName name="_xlnm.Print_Area" localSheetId="5">'1.호환성'!$A$1:$T$12</definedName>
    <definedName name="_xlnm.Print_Area" localSheetId="6">'1.호환성(모바일)'!$A$1:$AE$12</definedName>
    <definedName name="_xlnm.Print_Area" localSheetId="7">'2.접근성'!$A$1:$Q$27</definedName>
    <definedName name="_xlnm.Print_Area" localSheetId="8">'2.접근성(모바일)'!$A$1:$AF$27</definedName>
    <definedName name="_xlnm.Print_Area" localSheetId="9">'3.개방성'!$A$1:$E$6</definedName>
    <definedName name="_xlnm.Print_Area" localSheetId="10">'4.접속성'!$A$1:$E$4</definedName>
    <definedName name="_xlnm.Print_Area" localSheetId="11">'5.편의성'!$A$1:$G$136</definedName>
    <definedName name="_xlnm.Print_Area" localSheetId="4">'웹사이트 품질진단(종합)'!$A$1:$F$10</definedName>
    <definedName name="_xlnm.Print_Area" localSheetId="0">웹접근성체크리스트!$A$1:$H$46</definedName>
    <definedName name="_xlnm.Print_Area" localSheetId="1">웹접근성체크리스트_Flex포함!#REF!</definedName>
    <definedName name="_xlnm.Print_Titles" localSheetId="0">웹접근성체크리스트!$1:$1</definedName>
    <definedName name="_xlnm.Print_Titles" localSheetId="1">웹접근성체크리스트_Flex포함!#REF!</definedName>
    <definedName name="결과" localSheetId="8">#REF!</definedName>
    <definedName name="결과">#REF!</definedName>
    <definedName name="결과_값">Sheet1!$A$2:$A$3</definedName>
    <definedName name="구분">Sheet9!$A$2:$A$4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41" l="1"/>
  <c r="M6" i="41"/>
  <c r="M7" i="41"/>
  <c r="M8" i="41"/>
  <c r="M9" i="41"/>
  <c r="M10" i="41"/>
  <c r="M11" i="41"/>
  <c r="M12" i="41"/>
  <c r="AB9" i="43"/>
  <c r="AB12" i="43"/>
  <c r="AB11" i="43"/>
  <c r="AB10" i="43"/>
  <c r="AB8" i="43"/>
  <c r="AB7" i="43"/>
  <c r="AB6" i="43"/>
  <c r="AB5" i="43"/>
  <c r="AE27" i="44"/>
  <c r="AD27" i="44"/>
  <c r="AC27" i="44"/>
  <c r="AF27" i="44" s="1"/>
  <c r="AE26" i="44"/>
  <c r="AD26" i="44"/>
  <c r="AC26" i="44"/>
  <c r="AE25" i="44"/>
  <c r="AD25" i="44"/>
  <c r="AF25" i="44" s="1"/>
  <c r="AC25" i="44"/>
  <c r="AE24" i="44"/>
  <c r="AD24" i="44"/>
  <c r="AC24" i="44"/>
  <c r="AE23" i="44"/>
  <c r="AD23" i="44"/>
  <c r="AC23" i="44"/>
  <c r="AE22" i="44"/>
  <c r="AD22" i="44"/>
  <c r="AC22" i="44"/>
  <c r="AF22" i="44" s="1"/>
  <c r="AE21" i="44"/>
  <c r="AD21" i="44"/>
  <c r="AC21" i="44"/>
  <c r="AE20" i="44"/>
  <c r="AD20" i="44"/>
  <c r="AC20" i="44"/>
  <c r="AE19" i="44"/>
  <c r="AD19" i="44"/>
  <c r="AC19" i="44"/>
  <c r="AE18" i="44"/>
  <c r="AD18" i="44"/>
  <c r="AC18" i="44"/>
  <c r="AE17" i="44"/>
  <c r="AD17" i="44"/>
  <c r="AF17" i="44" s="1"/>
  <c r="AC17" i="44"/>
  <c r="AE16" i="44"/>
  <c r="AD16" i="44"/>
  <c r="AC16" i="44"/>
  <c r="AE15" i="44"/>
  <c r="AD15" i="44"/>
  <c r="AC15" i="44"/>
  <c r="AF15" i="44" s="1"/>
  <c r="AE14" i="44"/>
  <c r="AD14" i="44"/>
  <c r="AC14" i="44"/>
  <c r="AE13" i="44"/>
  <c r="AD13" i="44"/>
  <c r="AC13" i="44"/>
  <c r="AE12" i="44"/>
  <c r="AD12" i="44"/>
  <c r="AC12" i="44"/>
  <c r="AE11" i="44"/>
  <c r="AD11" i="44"/>
  <c r="AC11" i="44"/>
  <c r="AE10" i="44"/>
  <c r="AD10" i="44"/>
  <c r="AC10" i="44"/>
  <c r="AE9" i="44"/>
  <c r="AD9" i="44"/>
  <c r="AC9" i="44"/>
  <c r="AE8" i="44"/>
  <c r="AD8" i="44"/>
  <c r="AC8" i="44"/>
  <c r="AE7" i="44"/>
  <c r="AD7" i="44"/>
  <c r="AC7" i="44"/>
  <c r="AF7" i="44" s="1"/>
  <c r="AE6" i="44"/>
  <c r="AD6" i="44"/>
  <c r="AC6" i="44"/>
  <c r="AF6" i="44" s="1"/>
  <c r="AE5" i="44"/>
  <c r="AD5" i="44"/>
  <c r="AC5" i="44"/>
  <c r="AF5" i="44" s="1"/>
  <c r="AE4" i="44"/>
  <c r="AD4" i="44"/>
  <c r="AC4" i="44"/>
  <c r="AF14" i="44" l="1"/>
  <c r="AF23" i="44"/>
  <c r="AF13" i="44"/>
  <c r="AF24" i="44"/>
  <c r="AF11" i="44"/>
  <c r="AF9" i="44"/>
  <c r="AF4" i="44"/>
  <c r="AF12" i="44"/>
  <c r="AF20" i="44"/>
  <c r="AF8" i="44"/>
  <c r="AF16" i="44"/>
  <c r="AF21" i="44"/>
  <c r="AF26" i="44"/>
  <c r="AF19" i="44"/>
  <c r="AF10" i="44"/>
  <c r="AF18" i="44"/>
  <c r="N5" i="25"/>
  <c r="O5" i="25"/>
  <c r="P5" i="25"/>
  <c r="N6" i="25"/>
  <c r="O6" i="25"/>
  <c r="P6" i="25"/>
  <c r="N7" i="25"/>
  <c r="O7" i="25"/>
  <c r="P7" i="25"/>
  <c r="N8" i="25"/>
  <c r="O8" i="25"/>
  <c r="P8" i="25"/>
  <c r="N9" i="25"/>
  <c r="O9" i="25"/>
  <c r="P9" i="25"/>
  <c r="N10" i="25"/>
  <c r="O10" i="25"/>
  <c r="P10" i="25"/>
  <c r="N11" i="25"/>
  <c r="O11" i="25"/>
  <c r="P11" i="25"/>
  <c r="N12" i="25"/>
  <c r="O12" i="25"/>
  <c r="P12" i="25"/>
  <c r="N13" i="25"/>
  <c r="O13" i="25"/>
  <c r="P13" i="25"/>
  <c r="N14" i="25"/>
  <c r="O14" i="25"/>
  <c r="P14" i="25"/>
  <c r="N15" i="25"/>
  <c r="O15" i="25"/>
  <c r="P15" i="25"/>
  <c r="N16" i="25"/>
  <c r="O16" i="25"/>
  <c r="P16" i="25"/>
  <c r="N17" i="25"/>
  <c r="O17" i="25"/>
  <c r="P17" i="25"/>
  <c r="N18" i="25"/>
  <c r="O18" i="25"/>
  <c r="P18" i="25"/>
  <c r="N19" i="25"/>
  <c r="O19" i="25"/>
  <c r="P19" i="25"/>
  <c r="N20" i="25"/>
  <c r="O20" i="25"/>
  <c r="P20" i="25"/>
  <c r="N21" i="25"/>
  <c r="O21" i="25"/>
  <c r="P21" i="25"/>
  <c r="N22" i="25"/>
  <c r="O22" i="25"/>
  <c r="P22" i="25"/>
  <c r="N23" i="25"/>
  <c r="O23" i="25"/>
  <c r="P23" i="25"/>
  <c r="N24" i="25"/>
  <c r="O24" i="25"/>
  <c r="P24" i="25"/>
  <c r="N25" i="25"/>
  <c r="O25" i="25"/>
  <c r="P25" i="25"/>
  <c r="N26" i="25"/>
  <c r="O26" i="25"/>
  <c r="P26" i="25"/>
  <c r="N27" i="25"/>
  <c r="O27" i="25"/>
  <c r="P27" i="25"/>
  <c r="P4" i="25"/>
  <c r="O4" i="25"/>
  <c r="N4" i="25"/>
  <c r="AD12" i="43"/>
  <c r="AC12" i="43"/>
  <c r="AE12" i="43" s="1"/>
  <c r="AD11" i="43"/>
  <c r="AC11" i="43"/>
  <c r="AE11" i="43" s="1"/>
  <c r="AD10" i="43"/>
  <c r="AC10" i="43"/>
  <c r="AE10" i="43" s="1"/>
  <c r="AD9" i="43"/>
  <c r="AC9" i="43"/>
  <c r="AD8" i="43"/>
  <c r="AC8" i="43"/>
  <c r="AD7" i="43"/>
  <c r="AC7" i="43"/>
  <c r="AD6" i="43"/>
  <c r="AC6" i="43"/>
  <c r="AD5" i="43"/>
  <c r="AC5" i="43"/>
  <c r="AD4" i="43"/>
  <c r="AC4" i="43"/>
  <c r="AB4" i="43"/>
  <c r="O5" i="41"/>
  <c r="O6" i="41"/>
  <c r="O7" i="41"/>
  <c r="O8" i="41"/>
  <c r="O9" i="41"/>
  <c r="O10" i="41"/>
  <c r="O11" i="41"/>
  <c r="O12" i="41"/>
  <c r="O4" i="41"/>
  <c r="N5" i="41"/>
  <c r="N6" i="41"/>
  <c r="N7" i="41"/>
  <c r="N8" i="41"/>
  <c r="N9" i="41"/>
  <c r="N10" i="41"/>
  <c r="N11" i="41"/>
  <c r="N12" i="41"/>
  <c r="N4" i="41"/>
  <c r="M4" i="41"/>
  <c r="Q13" i="25" l="1"/>
  <c r="Q5" i="25"/>
  <c r="Q21" i="25"/>
  <c r="P7" i="41"/>
  <c r="AE7" i="43"/>
  <c r="AE5" i="43"/>
  <c r="AE8" i="43"/>
  <c r="AE6" i="43"/>
  <c r="AE9" i="43"/>
  <c r="P8" i="41"/>
  <c r="P9" i="41"/>
  <c r="P6" i="41"/>
  <c r="P5" i="41"/>
  <c r="P12" i="41"/>
  <c r="P4" i="41"/>
  <c r="P11" i="41"/>
  <c r="P10" i="41"/>
  <c r="AE4" i="43"/>
  <c r="Q12" i="25"/>
  <c r="Q27" i="25"/>
  <c r="Q20" i="25"/>
  <c r="Q22" i="25"/>
  <c r="Q14" i="25"/>
  <c r="Q6" i="25"/>
  <c r="Q19" i="25"/>
  <c r="Q11" i="25"/>
  <c r="Q25" i="25"/>
  <c r="Q4" i="25"/>
  <c r="Q26" i="25"/>
  <c r="Q18" i="25"/>
  <c r="Q10" i="25"/>
  <c r="Q24" i="25"/>
  <c r="Q16" i="25"/>
  <c r="Q8" i="25"/>
  <c r="Q23" i="25"/>
  <c r="Q15" i="25"/>
  <c r="Q7" i="25"/>
  <c r="Q17" i="25"/>
  <c r="Q9"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이종재</author>
  </authors>
  <commentList>
    <comment ref="D1" authorId="0" shapeId="0" xr:uid="{00000000-0006-0000-0000-000001000000}">
      <text>
        <r>
          <rPr>
            <b/>
            <sz val="9"/>
            <color indexed="81"/>
            <rFont val="돋움"/>
            <family val="3"/>
            <charset val="129"/>
          </rPr>
          <t>우선순위
의무 : 1
권고 : 2
권장 :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이종재</author>
  </authors>
  <commentList>
    <comment ref="D1" authorId="0" shapeId="0" xr:uid="{00000000-0006-0000-0100-000001000000}">
      <text>
        <r>
          <rPr>
            <b/>
            <sz val="9"/>
            <color indexed="81"/>
            <rFont val="돋움"/>
            <family val="3"/>
            <charset val="129"/>
          </rPr>
          <t>우선순위
의무 : 1
권고 : 2
권장 : 3</t>
        </r>
      </text>
    </comment>
  </commentList>
</comments>
</file>

<file path=xl/sharedStrings.xml><?xml version="1.0" encoding="utf-8"?>
<sst xmlns="http://schemas.openxmlformats.org/spreadsheetml/2006/main" count="2439" uniqueCount="582">
  <si>
    <t>구분</t>
    <phoneticPr fontId="2" type="noConversion"/>
  </si>
  <si>
    <t>항목(13개)</t>
    <phoneticPr fontId="2" type="noConversion"/>
  </si>
  <si>
    <t>지표(18개)</t>
    <phoneticPr fontId="2" type="noConversion"/>
  </si>
  <si>
    <t>중요도</t>
    <phoneticPr fontId="2" type="noConversion"/>
  </si>
  <si>
    <t>Flex 적용 기술가이드라인</t>
    <phoneticPr fontId="2" type="noConversion"/>
  </si>
  <si>
    <t xml:space="preserve">1-1. 텍스트 아닌 콘텐츠의 인식
</t>
    <phoneticPr fontId="2" type="noConversion"/>
  </si>
  <si>
    <t>1. 인식의 
용이성
(3개)</t>
    <phoneticPr fontId="2" type="noConversion"/>
  </si>
  <si>
    <t>1-2. 멀티미디어 매체의 인식</t>
    <phoneticPr fontId="2" type="noConversion"/>
  </si>
  <si>
    <t>(3) 동영상, 음성 등 멀티미디어 콘텐츠를 이해할 수 있도록 대체 수단(자막, 원고 또는 수화)를  제공해야 한다.
※ 실시간 방송이라도 대체 수단을 제공하여야 하나, 예외로 인정할 수 있음</t>
    <phoneticPr fontId="2" type="noConversion"/>
  </si>
  <si>
    <t>1-3. 콘텐츠의 시각적 명료성</t>
    <phoneticPr fontId="2" type="noConversion"/>
  </si>
  <si>
    <t>(4) 색상을 배제하여도 원하는 내용을 전달할 수 있도록, 색상 이외에도 명암이나 패턴 등으로 콘텐츠 구분이 가능해야 한다.</t>
    <phoneticPr fontId="2" type="noConversion"/>
  </si>
  <si>
    <t>2-1. 이미지 맵 기법 사용 제한</t>
    <phoneticPr fontId="2" type="noConversion"/>
  </si>
  <si>
    <t>(5)·서버측 이미지 맵을 제공할 경우, 해당 내용 및 기능을 사용할 수 있는 대체 콘텐츠를 제공해야 한다. 
 ※ 지리정보의 경우에는 예외로 인정할 수 있음</t>
    <phoneticPr fontId="2" type="noConversion"/>
  </si>
  <si>
    <t>의무</t>
    <phoneticPr fontId="2" type="noConversion"/>
  </si>
  <si>
    <t>2. 운용의 용이성
(6개)</t>
    <phoneticPr fontId="2" type="noConversion"/>
  </si>
  <si>
    <t>(6) 프레임을 제공할 경우, 해당 내용을 이해할 수 있도록 적절한 제목(title 속성)을 제공해야 한다.</t>
    <phoneticPr fontId="2" type="noConversion"/>
  </si>
  <si>
    <t>2-3. 깜빡거리는 객체 사용 제한</t>
    <phoneticPr fontId="2" type="noConversion"/>
  </si>
  <si>
    <t>(7) 깜빡이는 콘텐츠를 제공할 경우, 사전에 경고하고 깜빡임을 회피할 수 있는 수단을 제공해야 한다.
※ 깜박임 기준: 초당 3~49번을 깜박이는 콘텐츠</t>
    <phoneticPr fontId="2" type="noConversion"/>
  </si>
  <si>
    <t>2-4. 키보드로만 운용 가능</t>
    <phoneticPr fontId="2" type="noConversion"/>
  </si>
  <si>
    <t>(8) 모든 기능을 키보드로 이용할 수 있어야 한다.</t>
    <phoneticPr fontId="2" type="noConversion"/>
  </si>
  <si>
    <t>2-5. 반복 내비게이션 링크</t>
    <phoneticPr fontId="2" type="noConversion"/>
  </si>
  <si>
    <t>(9) 반복되는 링크를 건너뛸 수 있도록 건너뛰기 링크(skip navigation)를 제공해야 한다.</t>
    <phoneticPr fontId="2" type="noConversion"/>
  </si>
  <si>
    <t>2-6. 반응시간의 조절기능</t>
    <phoneticPr fontId="2" type="noConversion"/>
  </si>
  <si>
    <t>(10) 시간 제한이 있는 콘텐츠를 제공할 경우, 시간 제어 기능을 제공해야 한다.
  ※ 예외사항 : 경매, 실시간 게임 등과 같이 시간제한이 필수적인 콘텐츠</t>
    <phoneticPr fontId="2" type="noConversion"/>
  </si>
  <si>
    <t>권장</t>
    <phoneticPr fontId="2" type="noConversion"/>
  </si>
  <si>
    <t>권고</t>
    <phoneticPr fontId="2" type="noConversion"/>
  </si>
  <si>
    <t>3. 이해의 용이성
(3개)</t>
    <phoneticPr fontId="2" type="noConversion"/>
  </si>
  <si>
    <t>3-1. 데이터 테이블 구성</t>
    <phoneticPr fontId="2" type="noConversion"/>
  </si>
  <si>
    <t>(12) 데이터 테이블을 제공할 경우, 테이블의 내용을 이해할 수 있는 정보(제목, 요약정보 등)를 제공해야 한다.</t>
    <phoneticPr fontId="2" type="noConversion"/>
  </si>
  <si>
    <t>(13) 데이터 테이블을 제공할 경우, 제목 셀과 내용 셀을 구분할 수 있어야 한다.</t>
    <phoneticPr fontId="2" type="noConversion"/>
  </si>
  <si>
    <t>3-2. 페이지의 논리적 구성</t>
    <phoneticPr fontId="2" type="noConversion"/>
  </si>
  <si>
    <t>(14) 해당 페이지를 잘 이해할 수 있도록 페이지 제목(&lt;title&gt;)을 제공해야 한다.</t>
    <phoneticPr fontId="2" type="noConversion"/>
  </si>
  <si>
    <t>(15) 콘텐츠는 논리적인 순서로 구성되어야 한다.</t>
    <phoneticPr fontId="2" type="noConversion"/>
  </si>
  <si>
    <t>3-3. 온라인 서식 구성</t>
    <phoneticPr fontId="2" type="noConversion"/>
  </si>
  <si>
    <t>(16) 온라인 서식을 제공할 경우, 레이블(&lt;label&gt;)을 제공해야 한다.</t>
    <phoneticPr fontId="2" type="noConversion"/>
  </si>
  <si>
    <t>4. 기술적 진보성
(1개)</t>
    <phoneticPr fontId="2" type="noConversion"/>
  </si>
  <si>
    <t>4-1. 신기술의 사용</t>
    <phoneticPr fontId="2" type="noConversion"/>
  </si>
  <si>
    <t xml:space="preserve">(17) 애플릿, 플러그인(ActiveX, 플래시) 등 부가 애플리케이션을 제공하는 경우, 해당 애플리케이션이 자체적인 접근성을 준수하거나 사용자가 대체 콘텐츠를 선택하여 이용할 수 있어야 한다. </t>
  </si>
  <si>
    <t xml:space="preserve">(18) 마크업 언어로 구현할 수 있는 기능(링크, 서식, 버튼, 페이지 제목)을 자바스크립트로만 구현하지 말아야 한다. </t>
    <phoneticPr fontId="2" type="noConversion"/>
  </si>
  <si>
    <t>국가 기술가이드라인</t>
    <phoneticPr fontId="2" type="noConversion"/>
  </si>
  <si>
    <t>- 의미가 있는 이미지의 경우 의미나 기능이 동일한 대체 텍스트(alternative text)를 제공해야 한다.
- 의미가 없는 이미지(글머리기호, 테두리, 장식용 이미지, 공백 이미지 등)의 경우에는 대체 텍스트를 공백(alt=””)으로 제공해야 한다.</t>
    <phoneticPr fontId="2" type="noConversion"/>
  </si>
  <si>
    <t>(1) 이미지의 의미나 목적을 이해할 수 있도록 적절한 대체 텍스트를 제공해야 한다.</t>
    <phoneticPr fontId="2" type="noConversion"/>
  </si>
  <si>
    <t>- 배경으로 사용한 이미지가 의미를 갖는 경우에는 배경 이미지의 의미를 사용자가 파악할 수 있도록 대체 콘텐츠를  제공해야 한다.
- 이미지 대체(Image Replacement)기법을 사용하여 동등한 정보를 제공할 경우에는 준수한 것으로 판단한다.
- 텍스트 이미지나 콘텐츠를 CSS로 처리하여 디자인 자유도를 높이는 기법으로  이미지 대체 기법을 사용한 경우 접근성이 있는 것으로 판단한다.
- 의미가 있는 이미지를 배경 이미지로 활용하지 않는 것을 권장하며, 만약 사용할 경우에는 반드시 대체 콘텐츠를 제공해야 한다.</t>
    <phoneticPr fontId="2" type="noConversion"/>
  </si>
  <si>
    <t>(2) 배경 이미지가 의미를 갖는 경우, 배경 이미지의 의미를 이해할 수 있도록 대체 콘텐츠를 제공해야 한다.</t>
    <phoneticPr fontId="2" type="noConversion"/>
  </si>
  <si>
    <t>- 동영상, 음성 등 멀티미디어 콘텐츠 제공시에는 청각장애인 등이 해당 콘텐츠를 이해할 수 있도록 자막, 원고 또는 수화를 제공해야 한다.
- 실시간 방송이라도 대체 수단을 제공하는 것이 원칙이나, 예외로 인정할 수 있으며 음성이 없는 음악 방송의 경우에는 예외로 인정한다.
- 요약 정보만 제공하지 말고, 동일한 정보의 대체 수단(자막, 원고 또는 수화)을 제공해야 한다.</t>
    <phoneticPr fontId="2" type="noConversion"/>
  </si>
  <si>
    <t>- 콘텐츠가 제공하는 텍스트나 그래픽 정보는 색상을 제거하더라도 그 내용을 인지할 수 있어야 한다.
- 흑백 프린터 및 흑백 모니터로 출력할 경우 콘텐츠를 구분하지 못할 경우 준수하지 못한 것으로 판단한다.
- 색상이 아닌 패턴이나 명암으로 정보를 인식하게 할 수 있도록 제공한다.
- 색상을 배제하고서라도 구분할 수 있도록 “, △, ○, ▤, ▥, ▧, ▦, *” 등으로 표현하여 색상 이외로도 구분할 수 있도록 제공해야 한다.</t>
    <phoneticPr fontId="2" type="noConversion"/>
  </si>
  <si>
    <t>- 좌동
- 콘텐츠는 배경색과 전경색 간의 대비가 충분히 차이가 나도록 설계되어야 한다.
- 콘텐츠를 만들 때 화면에 표시되는 화면 구성 요소(예를 들어 텍스트, 버튼 등)의 크기를 브라우저에서 조절할 수 있어야 한다. 만일 크기를 조절할 수 없다면 텍스트의 글씨 크기는 12호 이상을 사용한다.</t>
    <phoneticPr fontId="2" type="noConversion"/>
  </si>
  <si>
    <t>- 텍스트가 아닌 콘텐츠에는 대체 텍스트를 제공하여야 한다.
- 이미지 프로퍼티나 로더 컴포넌트 프로퍼티의  toolTip 속성, ActionScript가 지원하는  accessibilityProperties.description , accessibilityProperties.name을 이용하여 대체 텍스트를 제공한다.
- 대체 텍스트는 ToolTip 을 통해 설명하고, 설명이 길어, 본문을 가리는 경우 Accessibility Properties을 통해 설명을 추가한다.
- 일반적으로 description 필드는 한글 25자 이상인 경우에 사용하며, 그 이하인 경우에는 name 필드를 사용한다.</t>
    <phoneticPr fontId="2" type="noConversion"/>
  </si>
  <si>
    <t>- 좌동</t>
    <phoneticPr fontId="2" type="noConversion"/>
  </si>
  <si>
    <t>- 이미지 맵(Image Map) 기법이 필요할 경우에는 클라이언트 측 이미지 맵을 사용하며, 서버측 이미지 맵을 사용할 경우에는 해당 내용 및 기능을 사용할 수 있는 대체 콘텐츠를 제공해야 한다. 
- 불가피하게 서버측 이미지 맵을 사용한 경우, 맵에 사용된 링크 목록을 제공하면서 키보드로 접근 가능할 수 있도록 제공해야 한다.
- &lt;img&gt; 요소에 ismap 속성을 사용하고 링크 영역의 좌표 정보가 서버에 있으며, 마우스와 같은 포인팅 기기로만 사용할 수가 있고 키보드로 접근이 불가능하다, 이에 서버측 이미지 맵을 사용할 경우에는, 맵에 사용된 링크 목록이 제공된 경우 접근성이 있다고 판단한다. 하지만, 키보드로 접근 가능한 대체 링크가 제공되지 않을 경우 접근성이 없는 것으로 판단한다.</t>
    <phoneticPr fontId="2" type="noConversion"/>
  </si>
  <si>
    <t>2-2. 프레임의 사용 제한</t>
    <phoneticPr fontId="2" type="noConversion"/>
  </si>
  <si>
    <t>- 불필요한 프레임은 사용하지 않으며, 최소화하는 것을 권장한다
- 프레임을 사용할 경우에는 프레임 내용을 이해할 수 있도록 적절한 제목을 제공해야 한다.
- 해당 페이지의 소스에서 &lt;:frame&gt;과 &lt;iframe&gt; 요소를 찾아, title 속성으로 프레임 제목을 제공하고 있으면 준수 것으로 판단한다.
- 프레임 제목은 프레임의 내용을 인식할 수 있도록 짧고 간결하게 제목(title)을 제공해야 한다.
- 내용이 없는 빈 프레임의 경우에는 title=”빈 프레임” 또는 title=”내용 없는 프레임”등과 같이 제공해야 한다</t>
    <phoneticPr fontId="2" type="noConversion"/>
  </si>
  <si>
    <t>- Flex에서 프레임은 없으나 페이지별로 적절한 title을 붙인다.</t>
    <phoneticPr fontId="2" type="noConversion"/>
  </si>
  <si>
    <t>- 깜빡이는 콘텐츠를 제공해야 할 경우에는 사전에 경고하고 깜빡임을 회피할 수 있는 수단을 제공해야 한다.</t>
    <phoneticPr fontId="2" type="noConversion"/>
  </si>
  <si>
    <t>- 키보드 또는 키보드 인터페이스만으로도 웹 콘텐츠가 제공하는 모든 기능을 수행할 수 있어야 한다.
- 마우스 이벤트와 키보드 이벤트를 동일하게 적용하여 키보드(Tab키, Shift+Tab키, 상, 하, 좌, 우 방향키 등)로도 마우스로 사용하는 기능과 동일하게 제공할 수 있게 하는 경우 준수한 것으로 판단한다.
- 키보드만으로 모든 기능이 이용 가능한 콘텐츠
 * 기본적으로는 장치(마우스) 종속적인 이벤트 핸들러(onmouseover, onmouseout)를 사용할 때 키보드 장치 독립적인 이벤트 핸들러(onfocus, onblur)를 동일하게 제공하며, 키보드로 작동되어야 한다. 단, HTML 상에서 이벤트 핸들러가 동일하다고 반드시 같은 동작을 하는 것은 아니기 때문에 실제 키보드로 작동되는지 여부를 점검해야 한다.
 * 링크가 적용된 이미지의 테두리를 없애기 위해서 onfocus=”this.blur()”를 제공한 경우 키보드 포커스가 되지 않기 때문에 이러한 경우 준수하지 못한 것으로 판단한다.
- 선택 상자 등에 이동 버튼 제공
* 키보드만으로도 하위 항목을 선택할 수 있어야 하며, 사용자가 명시적으로 클릭이나 엔터키 입력시에 페이지가 이동하도록 이동 버튼을 제공해야 한다.
* &lt;select&gt; 요소와 onchange 이벤트 핸들러로 페이지 이동 기능을 만드는 경우, 키보드로 접근하면 항목이 변경될 때 마다 페이지가 이동(인터넷 익스플로러)하기 때문에 준수하지 못한 것으로 판단한다.</t>
    <phoneticPr fontId="2" type="noConversion"/>
  </si>
  <si>
    <t xml:space="preserve">- 키보드만으로 모든 기능이 이용 가능한 콘텐츠
 * 기본적으로는 장치(마우스) 종속적인 이벤트 핸들러(MouseOver, MouseOut)를 사용할 때 키보드 장치 독립적인 이벤트 핸들러(FOCUS_IN,, FOCUS_OUT)를 동일하게 제공하며, 키보드로 작동되어야 한다.
 * Flex에서는 링크가 적용된 이미지에 테두리가 생기지 않는다.
- 선택 상자 등에 이동 버튼 제공
 * 키보드만으로도 하위 항목을 선택할 수 있어야 하며, 사용자가 명시적으로 클릭이나 엔터키 입력시에 페이지가 이동하도록 이동 버튼을 제공해야 한다.
 * 콤보박스 컴포넌트와 close 이벤트 핸들러로 페이지 이동 기능을 만드는 경우, 키보드로 접근하면 항목이 변경될 때 마다 페이지가 이동(인터넷 익스플로러)하기 때문에 준수하지 못한 것으로 판단한다
</t>
    <phoneticPr fontId="2" type="noConversion"/>
  </si>
  <si>
    <t>- 반복적인 내비게이션 링크를 뛰어넘어 페이지의 핵심부문으로 직접 이동할 수 있도록 건너뛰기 링크를 제공해야 한다.</t>
    <phoneticPr fontId="2" type="noConversion"/>
  </si>
  <si>
    <t>- 실시간 이벤트나 제한된 시간에 수행하여야 하는 활동 등은 사용자가 시간에 구애받지 않고 읽거나, 상호작용을 하거나 응답할 수 있어야 한다. (예외사항: 경매, 실시간 게임 등과 같이 시간제한이 필수적인 콘텐츠)
- 자동으로 갱신되는 콘텐츠의 경우 사용자가 이를 제어하고 콘텐츠를 확인할 수 있는 수단을 제공하면 준수한 것으로 판단한다.
- 마우스를 올리거나 키보드 포커스 시에 멈추는 경우라 하여도 사용자가 이미 지나간 콘텐츠를 확인할 수 있는 수단이 없으면 준수하지 못한 것으로 판단한다.
- 움직이는 배너를 사용자가 선택할 수 있도록 앞, 뒤, 정지 등의 기능을 제공한다.</t>
    <phoneticPr fontId="2" type="noConversion"/>
  </si>
  <si>
    <t>- 새 창을 사용할 경우에는 사용자가 미리 새로운 창이 열린다는 것을 인식하고 이를 활용할 수 있도록 사용자가에게 사전에 알려야 한다.
- 메인 페이지에서 팝업창을 과도하게 사용하지 않아야 한다.
- 사용자의 입력으로 발생하는 팝업창을 사전에 알려주어야 한다.
- title=”새 창에서 열림”, “새 창 아이콘” 등을 사용하여 사전에 사용자에게 알려야 한다.</t>
    <phoneticPr fontId="2" type="noConversion"/>
  </si>
  <si>
    <t>- 좌동</t>
    <phoneticPr fontId="2" type="noConversion"/>
  </si>
  <si>
    <t>- 데이터 테이블의 내용을 이해할 수 있도록 제목(summary 속성, &lt;caption&gt;태그, &lt;h1&gt;~&lt;h6&gt; 중 하나)을 제공하여야 한다.</t>
    <phoneticPr fontId="2" type="noConversion"/>
  </si>
  <si>
    <t>- 데이터 테이블은 데이터 셀별로 대응되는 모든 헤더를 확인할 수 있도록 제목 셀(&lt;th&gt;)과 내용 셀(&lt;td&gt;)을 구분할 수 있는 태그를 제공해야 한다.</t>
    <phoneticPr fontId="2" type="noConversion"/>
  </si>
  <si>
    <t>- 데이터 그리드의 내용을 이해할 수 있도록 제목(toolTip속성, Form의 FormHeading , label 또는 Text의 fontSize =”12”~ fontSize =”20” 중 하나)을 제공하여야 한다.</t>
    <phoneticPr fontId="2" type="noConversion"/>
  </si>
  <si>
    <t>- Flex의 데이터 그리드는 데이터 컬럼별로 대응되는 모든 헤더를 확인할 수 있도록 제목과 내용 구분이 가능하다.</t>
    <phoneticPr fontId="2" type="noConversion"/>
  </si>
  <si>
    <t>- 사용자가 페이지를 이해할 수 있도록 페이지별로 적절한 제목(&lt;title&gt;)을 제공해야 한다.
- URL을 고정하기 위해 의미없는 프레임을 사용한 경우, 포함 페이지들의 제목이 적절하게 제공되었다 하더라도 실제 사용자가 보게 되는 화면은 제목이 고정되기 때문에 준수하지 못한 것으로 판단한다.</t>
    <phoneticPr fontId="2" type="noConversion"/>
  </si>
  <si>
    <t>- 콘텐츠의 의미를 제대로 인식할 수 있도록 논리적인 순서로 콘텐츠를 구성해야 한다.</t>
    <phoneticPr fontId="2" type="noConversion"/>
  </si>
  <si>
    <t>- 좌동(Flex에는 프레임이 없음)</t>
    <phoneticPr fontId="2" type="noConversion"/>
  </si>
  <si>
    <t>- 온라인 서식 작성에 필요한 정보, 서식 구성 요소, 필요한 기능, 작성 후 제출 과정 등 서식과 관련된 모든 정보를 제공해야 한다.
- &lt;label&gt; 태그의 for와 서식의 id가 동일하여야 한다.
-  온라인 서식을 제공할 경우에는 반드시 레이블(&lt;label&gt;)을 제공해야 준수한 것으로 판단한다</t>
    <phoneticPr fontId="2" type="noConversion"/>
  </si>
  <si>
    <t>-  애플릿, 플러그인(ActiveX, 플래시) 등 부가 애플리케이션을 제공하는 경우에는 해당 애플리케이션을 최신 보조기술 수준에서 사용할 수 있도록 아래 2가지 조건 중 한 개를 충족하여 제공해야 한다.
 a) 자체적인. 접근성을 준수하여 제공해야 함
 b) 대체 콘텐츠를 제공하여 사용자가 이를 이용할 수 있어야 함
※ 예외사항: 공인인증서, 보안결재의 경우에는 접근성을 보장하는 애플리케이션이 ‘08년 12월말 기준으로 국내에 존재하지 않음으로 예외로 처리(단, 접근성 보장 애플리케이션이 등장할 경우까지만 예외로 인정)</t>
    <phoneticPr fontId="2" type="noConversion"/>
  </si>
  <si>
    <t>- 콘텐츠를 사용하기 위해서 필요한 플러그인은 사용자가 설치하여 실행할 수 있어야 한다.
- 플러그인을 사용자가 설치할 수 없다면 플러그인의 설치방법 등을 제공하여야 한다.
- Flex 콘텐츠를 개발 시에는 Flex가 제공하는 접근성 지원 컴포넌트들을 우선적으로 사용한다.
1) Accordion container
2) AdvancedDataGrid control
3) Alert control
4) Button control
5) Button control
6) ColorPicker control
7) ComboBox control
8) ComboBox control
9) DateChooser control
10) DateField control
11) Form container
12) Image control
13) Label control
14) LinkButton control
15) List control
16) Menu control
17) MenuBar control
18) Panel container
19) RadioButton control/RadioButtonGroup control
20) Slider control
21) TabNavigator container
22) Text control
23) TextArea control
24) TextInput control
25) TitleWindow container
26) ToolTipManager
27) Tree control
 사용자가 컴포넌트를 자체적으로 개발하여 사용할 경우에 이들 컴포넌트는 접근성을 지원하도록 개발되어야 한다.
 컴포넌트가 접근성을 지원하기 위해서는 MSAA(Microsoft Active Accessibility) 규격에 의거하여 컴포넌트의 역할과 상태에 관한 정보를 알려줄 수 있어야 한다.</t>
    <phoneticPr fontId="2" type="noConversion"/>
  </si>
  <si>
    <t>- HTML, XHTML 등 마크업 언어로 구현할 수 있는 링크, 서식, 버튼, 페이지 제목을 자바스크립트로만 구현하지 않아, 자바스크립트를 사용할 수 없는 보조기기나 오류 발생시에도 주요기능을 사용할 수 있도록 제공해야 한다.</t>
    <phoneticPr fontId="2" type="noConversion"/>
  </si>
  <si>
    <t>???</t>
    <phoneticPr fontId="2" type="noConversion"/>
  </si>
  <si>
    <t>결과</t>
    <phoneticPr fontId="2" type="noConversion"/>
  </si>
  <si>
    <t>점검방법</t>
    <phoneticPr fontId="2" type="noConversion"/>
  </si>
  <si>
    <t>수동검사</t>
    <phoneticPr fontId="2" type="noConversion"/>
  </si>
  <si>
    <t xml:space="preserve">1차적으로 KADO-WAH 2.0을 이용하여 키보드 조작 준수 여부를 확인한 후 수동평가함. </t>
    <phoneticPr fontId="2" type="noConversion"/>
  </si>
  <si>
    <t>1. Internet Explorer Developer Toolbar 설치하여 CSS를 제거하여 확인
2. FireFox : View &gt; Page style &gt; No Style</t>
    <phoneticPr fontId="2" type="noConversion"/>
  </si>
  <si>
    <t>수동검사</t>
    <phoneticPr fontId="2" type="noConversion"/>
  </si>
  <si>
    <t>오페라 브라우저를 이용한 플러그인 대체 콘텐츠 확인 방법
- 환경설정(Preference) &gt; 고급설정(Advanced) &gt; 콘텐트(Content) &gt; 해당 플러그인 사용(Enable plug-ins)에서 체크를 빼면 대체 콘텐츠 제공여부를 확인할 수 있음</t>
    <phoneticPr fontId="2" type="noConversion"/>
  </si>
  <si>
    <t>Fujitu ColorDoctor 2.1 로 테스트함</t>
    <phoneticPr fontId="2" type="noConversion"/>
  </si>
  <si>
    <t>1. KADO-WAH 2.0을 이용하여 1차 평가 후 각각의 대체 텍스트의 적합성 여부에 대하여 수동평가가 이루어짐
2. Internet Explorer Developer Toolbar 설치하여 수동검사</t>
    <phoneticPr fontId="2" type="noConversion"/>
  </si>
  <si>
    <t>&lt;배경 이미지 찾기&gt;
1. 브라우저에서 전체 콘텐츠 설정해 보기 : Ctrl + A (이미지 중에서 선택되지 않는 영역 찾기)
2. 전체 콘텐츠에서 설정되지 않는 이미지를 찾아 이미지 영역에서
- Firefox 브라우저 오른쪽 마우스 클릭 --&gt; '배경그림보기' 선택
&lt;정보를 이미지만으로 제공하는지의 여부 평가&gt;
1. 스타일을 제거하여 배경이미지의 대체 정보를 제공하는지 여부를 평가
(스타일 제거방법 : Firefox브라우저 메뉴 /보기/문서스타일/스타일제거 선택
--&gt; 스타일 제거 후 정보가 동일하면 준수
--&gt; 스타일 제거 후, 정보가 동일하지 않은면 미준수</t>
    <phoneticPr fontId="2" type="noConversion"/>
  </si>
  <si>
    <t>1. 1차적으로 KADO-WAH 2.0을 이용하여 준수 여부를 확인한 후 수동평가함. 
2. 깜빡이는 콘텐츠 여부를 자동평가도구 활용(Flickering and Photosensitive Epilepsy)
http://tools.webaccessibile.org/test/</t>
    <phoneticPr fontId="2" type="noConversion"/>
  </si>
  <si>
    <t>(11) 새 창(팝업창 포함)을 제공할 경우, 사용자에게 사전에 알려야 한다.</t>
    <phoneticPr fontId="2" type="noConversion"/>
  </si>
  <si>
    <t>수동검사
- 데이터 테이블에 해당하는 소스를 분석하여 테이블을 쉽게 이해할 수 있도록 제목을 summary속성, &lt;caption&gt;태그, &lt;h1&gt;~&lt;h6&gt;중 하나라도 제공하고 있는 지 여부를 파악</t>
    <phoneticPr fontId="2" type="noConversion"/>
  </si>
  <si>
    <t>수동검사</t>
    <phoneticPr fontId="2" type="noConversion"/>
  </si>
  <si>
    <t>구분</t>
    <phoneticPr fontId="2" type="noConversion"/>
  </si>
  <si>
    <t>항목(13개)</t>
    <phoneticPr fontId="2" type="noConversion"/>
  </si>
  <si>
    <t>지표(18개)</t>
    <phoneticPr fontId="2" type="noConversion"/>
  </si>
  <si>
    <t>중요도</t>
    <phoneticPr fontId="2" type="noConversion"/>
  </si>
  <si>
    <t>국가 기술가이드라인</t>
    <phoneticPr fontId="2" type="noConversion"/>
  </si>
  <si>
    <t>준수여부</t>
    <phoneticPr fontId="2" type="noConversion"/>
  </si>
  <si>
    <t>점검방법</t>
    <phoneticPr fontId="2" type="noConversion"/>
  </si>
  <si>
    <t>1. 인식의 
용이성
(3개)</t>
    <phoneticPr fontId="2" type="noConversion"/>
  </si>
  <si>
    <t xml:space="preserve">1-1. 텍스트 아닌 콘텐츠의 인식
</t>
    <phoneticPr fontId="2" type="noConversion"/>
  </si>
  <si>
    <t>(1) 이미지의 의미나 목적을 이해할 수 있도록 적절한 대체 텍스트를 제공해야 한다.</t>
    <phoneticPr fontId="2" type="noConversion"/>
  </si>
  <si>
    <t>의무</t>
    <phoneticPr fontId="2" type="noConversion"/>
  </si>
  <si>
    <t>- 의미가 있는 이미지의 경우 의미나 기능이 동일한 대체 텍스트(alternative text)를 제공해야 한다.</t>
    <phoneticPr fontId="2" type="noConversion"/>
  </si>
  <si>
    <t>- 의미가 없는 이미지(글머리기호, 테두리, 장식용 이미지, 공백 이미지 등)의 경우에는 대체 텍스트를 공백(alt=””)으로 제공해야 한다.</t>
    <phoneticPr fontId="2" type="noConversion"/>
  </si>
  <si>
    <t>(2) 배경 이미지가 의미를 갖는 경우, 배경 이미지의 의미를 이해할 수 있도록 대체 콘텐츠를 제공해야 한다.</t>
    <phoneticPr fontId="2" type="noConversion"/>
  </si>
  <si>
    <t>- 배경으로 사용한 이미지가 의미를 갖는 경우에는 배경 이미지의 의미를 사용자가 파악할 수 있도록 대체 콘텐츠를  제공해야 한다.</t>
    <phoneticPr fontId="2" type="noConversion"/>
  </si>
  <si>
    <t>- 이미지 대체(Image Replacement)기법을 사용하여 동등한 정보를 제공할 경우에는 준수한 것으로 판단한다.</t>
    <phoneticPr fontId="2" type="noConversion"/>
  </si>
  <si>
    <t>- 텍스트 이미지나 콘텐츠를 CSS로 처리하여 디자인 자유도를 높이는 기법으로  이미지 대체 기법을 사용한 경우 접근성이 있는 것으로 판단한다.</t>
    <phoneticPr fontId="2" type="noConversion"/>
  </si>
  <si>
    <t>- 의미가 있는 이미지를 배경 이미지로 활용하지 않는 것을 권장하며, 만약 사용할 경우에는 반드시 대체 콘텐츠를 제공해야 한다.</t>
    <phoneticPr fontId="2" type="noConversion"/>
  </si>
  <si>
    <t>1-2. 멀티미디어 매체의 인식</t>
    <phoneticPr fontId="2" type="noConversion"/>
  </si>
  <si>
    <t>(3) 동영상, 음성 등 멀티미디어 콘텐츠를 이해할 수 있도록 대체 수단(자막, 원고 또는 수화)를  제공해야 한다.
※ 실시간 방송이라도 대체 수단을 제공하여야 하나, 예외로 인정할 수 있음</t>
    <phoneticPr fontId="2" type="noConversion"/>
  </si>
  <si>
    <t>- 동영상, 음성 등 멀티미디어 콘텐츠 제공시에는 청각장애인 등이 해당 콘텐츠를 이해할 수 있도록 자막, 원고 또는 수화를 제공해야 한다.</t>
    <phoneticPr fontId="2" type="noConversion"/>
  </si>
  <si>
    <t>수동검사</t>
    <phoneticPr fontId="2" type="noConversion"/>
  </si>
  <si>
    <t>- 실시간 방송이라도 대체 수단을 제공하는 것이 원칙이나, 예외로 인정할 수 있으며 음성이 없는 음악 방송의 경우에는 예외로 인정한다.</t>
    <phoneticPr fontId="2" type="noConversion"/>
  </si>
  <si>
    <t>- 요약 정보만 제공하지 말고, 동일한 정보의 대체 수단(자막, 원고 또는 수화)을 제공해야 한다.</t>
    <phoneticPr fontId="2" type="noConversion"/>
  </si>
  <si>
    <t>1-3. 콘텐츠의 시각적 명료성</t>
    <phoneticPr fontId="2" type="noConversion"/>
  </si>
  <si>
    <t>(4) 색상을 배제하여도 원하는 내용을 전달할 수 있도록, 색상 이외에도 명암이나 패턴 등으로 콘텐츠 구분이 가능해야 한다.</t>
    <phoneticPr fontId="2" type="noConversion"/>
  </si>
  <si>
    <t>- 콘텐츠가 제공하는 텍스트나 그래픽 정보는 색상을 제거하더라도 그 내용을 인지할 수 있어야 한다.</t>
    <phoneticPr fontId="2" type="noConversion"/>
  </si>
  <si>
    <t>- 흑백 프린터 및 흑백 모니터로 출력할 경우 콘텐츠를 구분하지 못할 경우 준수하지 못한 것으로 판단한다.</t>
    <phoneticPr fontId="2" type="noConversion"/>
  </si>
  <si>
    <t>- 색상이 아닌 패턴이나 명암으로 정보를 인식하게 할 수 있도록 제공한다.</t>
    <phoneticPr fontId="2" type="noConversion"/>
  </si>
  <si>
    <t>- 색상을 배제하고서라도 구분할 수 있도록 “, △, ○, ▤, ▥, ▧, ▦, *” 등으로 표현하여 색상 이외로도 구분할 수 있도록 제공해야 한다.</t>
    <phoneticPr fontId="2" type="noConversion"/>
  </si>
  <si>
    <t>2. 운용의 용이성
(6개)</t>
    <phoneticPr fontId="2" type="noConversion"/>
  </si>
  <si>
    <t>2-1. 이미지 맵 기법 사용 제한</t>
    <phoneticPr fontId="2" type="noConversion"/>
  </si>
  <si>
    <t>(5)·서버측 이미지 맵을 제공할 경우, 해당 내용 및 기능을 사용할 수 있는 대체 콘텐츠를 제공해야 한다. 
 ※ 지리정보의 경우에는 예외로 인정할 수 있음</t>
    <phoneticPr fontId="2" type="noConversion"/>
  </si>
  <si>
    <t xml:space="preserve">- 이미지 맵(Image Map) 기법이 필요할 경우에는 클라이언트 측 이미지 맵을 사용하며, 서버측 이미지 맵을 사용할 경우에는 해당 내용 및 기능을 사용할 수 있는 대체 콘텐츠를 제공해야 한다. </t>
    <phoneticPr fontId="2" type="noConversion"/>
  </si>
  <si>
    <t>- 불가피하게 서버측 이미지 맵을 사용한 경우, 맵에 사용된 링크 목록을 제공하면서 키보드로 접근 가능할 수 있도록 제공해야 한다.</t>
    <phoneticPr fontId="2" type="noConversion"/>
  </si>
  <si>
    <t>2-2. 프레임의 사용 제한</t>
    <phoneticPr fontId="2" type="noConversion"/>
  </si>
  <si>
    <t>(6) 프레임을 제공할 경우, 해당 내용을 이해할 수 있도록 적절한 제목(title 속성)을 제공해야 한다.</t>
    <phoneticPr fontId="2" type="noConversion"/>
  </si>
  <si>
    <t>- 불필요한 프레임은 사용하지 않으며, 최소화하는 것을 권장한다</t>
    <phoneticPr fontId="2" type="noConversion"/>
  </si>
  <si>
    <t>- 프레임을 사용할 경우에는 프레임 내용을 이해할 수 있도록 적절한 제목을 제공해야 한다.</t>
    <phoneticPr fontId="2" type="noConversion"/>
  </si>
  <si>
    <t>- 해당 페이지의 소스에서 &lt;:frame&gt;과 &lt;iframe&gt; 요소를 찾아, title 속성으로 프레임 제목을 제공하고 있으면 준수 것으로 판단한다.</t>
    <phoneticPr fontId="2" type="noConversion"/>
  </si>
  <si>
    <t>- 프레임 제목은 프레임의 내용을 인식할 수 있도록 짧고 간결하게 제목(title)을 제공해야 한다.</t>
    <phoneticPr fontId="2" type="noConversion"/>
  </si>
  <si>
    <t>- 내용이 없는 빈 프레임의 경우에는 title=”빈 프레임” 또는 title=”내용 없는 프레임”등과 같이 제공해야 한다</t>
    <phoneticPr fontId="2" type="noConversion"/>
  </si>
  <si>
    <t>2-3. 깜빡거리는 객체 사용 제한</t>
    <phoneticPr fontId="2" type="noConversion"/>
  </si>
  <si>
    <t>(7) 깜빡이는 콘텐츠를 제공할 경우, 사전에 경고하고 깜빡임을 회피할 수 있는 수단을 제공해야 한다.
※ 깜박임 기준: 초당 3~49번을 깜박이는 콘텐츠</t>
    <phoneticPr fontId="2" type="noConversion"/>
  </si>
  <si>
    <t>- 깜빡이는 콘텐츠를 제공해야 할 경우에는 사전에 경고하고 깜빡임을 회피할 수 있는 수단을 제공해야 한다.</t>
    <phoneticPr fontId="2" type="noConversion"/>
  </si>
  <si>
    <t>1. 1차적으로 KADO-WAH 2.0을 이용하여 준수 여부를 확인한 후 수동평가함. 
2. 깜빡이는 콘텐츠 여부를 자동평가도구 활용(Flickering and Photosensitive Epilepsy)
http://tools.webaccessibile.org/test/</t>
    <phoneticPr fontId="2" type="noConversion"/>
  </si>
  <si>
    <t>2-4. 키보드로만 운용 가능</t>
    <phoneticPr fontId="2" type="noConversion"/>
  </si>
  <si>
    <t>(8) 모든 기능을 키보드로 이용할 수 있어야 한다.</t>
    <phoneticPr fontId="2" type="noConversion"/>
  </si>
  <si>
    <t>- 키보드 또는 키보드 인터페이스만으로도 웹 콘텐츠가 제공하는 모든 기능을 수행할 수 있어야 한다.</t>
    <phoneticPr fontId="2" type="noConversion"/>
  </si>
  <si>
    <t xml:space="preserve">1차적으로 KADO-WAH 2.0을 이용하여 키보드 조작 준수 여부를 확인한 후 수동평가함. </t>
    <phoneticPr fontId="2" type="noConversion"/>
  </si>
  <si>
    <t>- 마우스 이벤트와 키보드 이벤트를 동일하게 적용하여 키보드(Tab키, Shift+Tab키, 상, 하, 좌, 우 방향키 등)로도 마우스로 사용하는 기능과 동일하게 제공할 수 있게 하는 경우 준수한 것으로 판단한다.</t>
    <phoneticPr fontId="2" type="noConversion"/>
  </si>
  <si>
    <t>- 키보드만으로 모든 기능이 이용 가능한 콘텐츠
 * 기본적으로는 장치(마우스) 종속적인 이벤트 핸들러(onmouseover, onmouseout)를 사용할 때 키보드 장치 독립적인 이벤트 핸들러(onfocus, onblur)를 동일하게 제공하며, 키보드로 작동되어야 한다. 단, HTML 상에서 이벤트 핸들러가 동일하다고 반드시 같은 동작을 하는 것은 아니기 때문에 실제 키보드로 작동되는지 여부를 점검해야 한다.
 * 링크가 적용된 이미지의 테두리를 없애기 위해서 onfocus=”this.blur()”를 제공한 경우 키보드 포커스가 되지 않기 때문에 이러한 경우 준수하지 못한 것으로 판단한다.</t>
    <phoneticPr fontId="2" type="noConversion"/>
  </si>
  <si>
    <t>- 선택 상자 등에 이동 버튼 제공
* 키보드만으로도 하위 항목을 선택할 수 있어야 하며, 사용자가 명시적으로 클릭이나 엔터키 입력시에 페이지가 이동하도록 이동 버튼을 제공해야 한다.
* &lt;select&gt; 요소와 onchange 이벤트 핸들러로 페이지 이동 기능을 만드는 경우, 키보드로 접근하면 항목이 변경될 때 마다 페이지가 이동(인터넷 익스플로러)하기 때문에 준수하지 못한 것으로 판단한다.</t>
    <phoneticPr fontId="2" type="noConversion"/>
  </si>
  <si>
    <t>2-5. 반복 내비게이션 링크</t>
    <phoneticPr fontId="2" type="noConversion"/>
  </si>
  <si>
    <t>(9) 반복되는 링크를 건너뛸 수 있도록 건너뛰기 링크(skip navigation)를 제공해야 한다.</t>
    <phoneticPr fontId="2" type="noConversion"/>
  </si>
  <si>
    <t>권장</t>
    <phoneticPr fontId="2" type="noConversion"/>
  </si>
  <si>
    <t>- 반복적인 내비게이션 링크를 뛰어넘어 페이지의 핵심부문으로 직접 이동할 수 있도록 건너뛰기 링크를 제공해야 한다.</t>
    <phoneticPr fontId="2" type="noConversion"/>
  </si>
  <si>
    <t>2-6. 반응시간의 조절기능</t>
    <phoneticPr fontId="2" type="noConversion"/>
  </si>
  <si>
    <t>(10) 시간 제한이 있는 콘텐츠를 제공할 경우, 시간 제어 기능을 제공해야 한다.
  ※ 예외사항 : 경매, 실시간 게임 등과 같이 시간제한이 필수적인 콘텐츠</t>
    <phoneticPr fontId="2" type="noConversion"/>
  </si>
  <si>
    <t>권고</t>
    <phoneticPr fontId="2" type="noConversion"/>
  </si>
  <si>
    <t>- 실시간 이벤트나 제한된 시간에 수행하여야 하는 활동 등은 사용자가 시간에 구애받지 않고 읽거나, 상호작용을 하거나 응답할 수 있어야 한다. (예외사항: 경매, 실시간 게임 등과 같이 시간제한이 필수적인 콘텐츠)</t>
    <phoneticPr fontId="2" type="noConversion"/>
  </si>
  <si>
    <t>- 자동으로 갱신되는 콘텐츠의 경우 사용자가 이를 제어하고 콘텐츠를 확인할 수 있는 수단을 제공하면 준수한 것으로 판단한다.</t>
    <phoneticPr fontId="2" type="noConversion"/>
  </si>
  <si>
    <t>- 마우스를 올리거나 키보드 포커스 시에 멈추는 경우라 하여도 사용자가 이미 지나간 콘텐츠를 확인할 수 있는 수단이 없으면 준수하지 못한 것으로 판단한다.</t>
    <phoneticPr fontId="2" type="noConversion"/>
  </si>
  <si>
    <t>- 움직이는 배너를 사용자가 선택할 수 있도록 앞, 뒤, 정지 등의 기능을 제공한다.</t>
    <phoneticPr fontId="2" type="noConversion"/>
  </si>
  <si>
    <t>(11) 새 창(팝업창 포함)을 제공할 경우, 사용자에게 사전에 알려야 한다.</t>
    <phoneticPr fontId="2" type="noConversion"/>
  </si>
  <si>
    <t>- 새 창을 사용할 경우에는 사용자가 미리 새로운 창이 열린다는 것을 인식하고 이를 활용할 수 있도록 사용자가에게 사전에 알려야 한다.</t>
    <phoneticPr fontId="2" type="noConversion"/>
  </si>
  <si>
    <t>- 메인 페이지에서 팝업창을 과도하게 사용하지 않아야 한다.</t>
    <phoneticPr fontId="2" type="noConversion"/>
  </si>
  <si>
    <t>- 사용자의 입력으로 발생하는 팝업창을 사전에 알려주어야 한다.</t>
    <phoneticPr fontId="2" type="noConversion"/>
  </si>
  <si>
    <t>- title=”새 창에서 열림”, “새 창 아이콘” 등을 사용하여 사전에 사용자에게 알려야 한다.</t>
    <phoneticPr fontId="2" type="noConversion"/>
  </si>
  <si>
    <t>3. 이해의 용이성
(3개)</t>
    <phoneticPr fontId="2" type="noConversion"/>
  </si>
  <si>
    <t>3-1. 데이터 테이블 구성</t>
    <phoneticPr fontId="2" type="noConversion"/>
  </si>
  <si>
    <t>(12) 데이터 테이블을 제공할 경우, 테이블의 내용을 이해할 수 있는 정보(제목, 요약정보 등)를 제공해야 한다.</t>
    <phoneticPr fontId="2" type="noConversion"/>
  </si>
  <si>
    <t>- 데이터 테이블의 내용을 이해할 수 있도록 제목(summary 속성, &lt;caption&gt;태그, &lt;h1&gt;~&lt;h6&gt; 중 하나)을 제공하여야 한다.</t>
    <phoneticPr fontId="2" type="noConversion"/>
  </si>
  <si>
    <t>(13) 데이터 테이블을 제공할 경우, 제목 셀과 내용 셀을 구분할 수 있어야 한다.</t>
    <phoneticPr fontId="2" type="noConversion"/>
  </si>
  <si>
    <t>- 데이터 테이블은 데이터 셀별로 대응되는 모든 헤더를 확인할 수 있도록 제목 셀(&lt;th&gt;)과 내용 셀(&lt;td&gt;)을 구분할 수 있는 태그를 제공해야 한다.</t>
    <phoneticPr fontId="2" type="noConversion"/>
  </si>
  <si>
    <t>3-2. 페이지의 논리적 구성</t>
    <phoneticPr fontId="2" type="noConversion"/>
  </si>
  <si>
    <t>(14) 해당 페이지를 잘 이해할 수 있도록 페이지 제목(&lt;title&gt;)을 제공해야 한다.</t>
    <phoneticPr fontId="2" type="noConversion"/>
  </si>
  <si>
    <t>- 사용자가 페이지를 이해할 수 있도록 페이지별로 적절한 제목(&lt;title&gt;)을 제공해야 한다.</t>
    <phoneticPr fontId="2" type="noConversion"/>
  </si>
  <si>
    <t>- URL을 고정하기 위해 의미없는 프레임을 사용한 경우, 포함 페이지들의 제목이 적절하게 제공되었다 하더라도 실제 사용자가 보게 되는 화면은 제목이 고정되기 때문에 준수하지 못한 것으로 판단한다.</t>
    <phoneticPr fontId="2" type="noConversion"/>
  </si>
  <si>
    <t>(15) 콘텐츠는 논리적인 순서로 구성되어야 한다.</t>
    <phoneticPr fontId="2" type="noConversion"/>
  </si>
  <si>
    <t>- 콘텐츠의 의미를 제대로 인식할 수 있도록 논리적인 순서로 콘텐츠를 구성해야 한다.</t>
    <phoneticPr fontId="2" type="noConversion"/>
  </si>
  <si>
    <t>3-3. 온라인 서식 구성</t>
    <phoneticPr fontId="2" type="noConversion"/>
  </si>
  <si>
    <t>(16) 온라인 서식을 제공할 경우, 레이블(&lt;label&gt;)을 제공해야 한다.</t>
    <phoneticPr fontId="2" type="noConversion"/>
  </si>
  <si>
    <t>- 온라인 서식 작성에 필요한 정보, 서식 구성 요소, 필요한 기능, 작성 후 제출 과정 등 서식과 관련된 모든 정보를 제공해야 한다.</t>
    <phoneticPr fontId="2" type="noConversion"/>
  </si>
  <si>
    <t>- &lt;label&gt; 태그의 for와 서식의 id가 동일하여야 한다.</t>
    <phoneticPr fontId="2" type="noConversion"/>
  </si>
  <si>
    <t>-  온라인 서식을 제공할 경우에는 반드시 레이블(&lt;label&gt;)을 제공해야 준수한 것으로 판단한다</t>
    <phoneticPr fontId="2" type="noConversion"/>
  </si>
  <si>
    <t>4. 기술적 진보성
(1개)</t>
    <phoneticPr fontId="2" type="noConversion"/>
  </si>
  <si>
    <t>4-1. 신기술의 사용</t>
    <phoneticPr fontId="2" type="noConversion"/>
  </si>
  <si>
    <t>-  애플릿, 플러그인(ActiveX, 플래시) 등 부가 애플리케이션을 제공하는 경우에는 해당 애플리케이션을 최신 보조기술 수준에서 사용할 수 있도록 아래 2가지 조건 중 한 개를 충족하여 제공해야 한다.
 a) 자체적인. 접근성을 준수하여 제공해야 함
 b) 대체 콘텐츠를 제공하여 사용자가 이를 이용할 수 있어야 함
※ 예외사항: 공인인증서, 보안결재의 경우에는 접근성을 보장하는 애플리케이션이 ‘08년 12월말 기준으로 국내에 존재하지 않음으로 예외로 처리(단, 접근성 보장 애플리케이션이 등장할 경우까지만 예외로 인정)</t>
    <phoneticPr fontId="2" type="noConversion"/>
  </si>
  <si>
    <t>오페라 브라우저를 이용한 플러그인 대체 콘텐츠 확인 방법
- 환경설정(Preference) &gt; 고급설정(Advanced) &gt; 콘텐트(Content) &gt; 해당 플러그인 사용(Enable plug-ins)에서 체크를 빼면 대체 콘텐츠 제공여부를 확인할 수 있음</t>
    <phoneticPr fontId="2" type="noConversion"/>
  </si>
  <si>
    <t xml:space="preserve">(18) 마크업 언어로 구현할 수 있는 기능(링크, 서식, 버튼, 페이지 제목)을 자바스크립트로만 구현하지 말아야 한다. </t>
    <phoneticPr fontId="2" type="noConversion"/>
  </si>
  <si>
    <t>- HTML, XHTML 등 마크업 언어로 구현할 수 있는 링크, 서식, 버튼, 페이지 제목을 자바스크립트로만 구현하지 않아, 자바스크립트를 사용할 수 없는 보조기기나 오류 발생시에도 주요기능을 사용할 수 있도록 제공해야 한다.</t>
    <phoneticPr fontId="2" type="noConversion"/>
  </si>
  <si>
    <t>N/A</t>
    <phoneticPr fontId="2" type="noConversion"/>
  </si>
  <si>
    <t>F</t>
    <phoneticPr fontId="2" type="noConversion"/>
  </si>
  <si>
    <t>오류</t>
    <phoneticPr fontId="2" type="noConversion"/>
  </si>
  <si>
    <t>Markup 유효성 체크</t>
    <phoneticPr fontId="2" type="noConversion"/>
  </si>
  <si>
    <t>준수
기준</t>
    <phoneticPr fontId="2" type="noConversion"/>
  </si>
  <si>
    <t>시민클린업</t>
    <phoneticPr fontId="2" type="noConversion"/>
  </si>
  <si>
    <t>- &lt;img&gt; 요소에 ismap 속성을 사용하고 링크 영역의 좌표 정보가 서버에 있으며, 마우스와 같은 포인팅 기기로만 사용할 수가 있고 키보드로 접근이 불가능하다, 이에 서버측 이미지 맵을 사용할 경우에는, 맵에 사용된 링크 목록이 제공된 경우 접근성이 있다고 판단한다. 하지만, 키보드로 접근 가능한 대체 링크가 제공되지 않을 경우 접근성이 없는 것으로 판단한다.</t>
    <phoneticPr fontId="2" type="noConversion"/>
  </si>
  <si>
    <t>구분</t>
    <phoneticPr fontId="2" type="noConversion"/>
  </si>
  <si>
    <t>조합클린업</t>
    <phoneticPr fontId="2" type="noConversion"/>
  </si>
  <si>
    <t>CSS</t>
    <phoneticPr fontId="2" type="noConversion"/>
  </si>
  <si>
    <t>CSS 유효성 체크</t>
    <phoneticPr fontId="2" type="noConversion"/>
  </si>
  <si>
    <t>시민</t>
    <phoneticPr fontId="2" type="noConversion"/>
  </si>
  <si>
    <t>조합</t>
    <phoneticPr fontId="2" type="noConversion"/>
  </si>
  <si>
    <t>정상</t>
    <phoneticPr fontId="2" type="noConversion"/>
  </si>
  <si>
    <t>http://validator.w3.org/check?verbose=1&amp;uri=http%3a%2f%2fcleanup.seoul.go.kr%2f</t>
  </si>
  <si>
    <t>Markup</t>
    <phoneticPr fontId="2" type="noConversion"/>
  </si>
  <si>
    <t>http://jigsaw.w3.org/css-validator/validator?profile=css2&amp;warning=2&amp;uri=http%3a%2f%2fcleanup.seoul.go.kr%2fassc%2fscrin-indx.action%3fcafeId%3d000999999998K29</t>
    <phoneticPr fontId="2" type="noConversion"/>
  </si>
  <si>
    <t>일부 오류</t>
    <phoneticPr fontId="2" type="noConversion"/>
  </si>
  <si>
    <t>http://jigsaw.w3.org/css-validator/validator?profile=css2&amp;warning=2&amp;uri=http%3a%2f%2fcleanup.seoul.go.kr%2f</t>
    <phoneticPr fontId="2" type="noConversion"/>
  </si>
  <si>
    <t>http://validator.w3.org/check?verbose=1&amp;uri=http%3a%2f%2fcleanup.seoul.go.kr%2fassc%2fscrin-indx.action%3fcafeId%3d000999999998K29</t>
    <phoneticPr fontId="2" type="noConversion"/>
  </si>
  <si>
    <t>수동검사
 - HTML 상에서는 보이지 않지만 java script 에서 처리 되고 있음</t>
    <phoneticPr fontId="2" type="noConversion"/>
  </si>
  <si>
    <t>1. Internet Explorer Developer Toolbar 설치하여 CSS를 제거하여 확인
2. FireFox : View &gt; Page style &gt; No Style</t>
    <phoneticPr fontId="2" type="noConversion"/>
  </si>
  <si>
    <t>1. KADO-WAH 3.0을 이용하여 1차 평가 후 각각의 대체 텍스트의 적합성 여부에 대하여 수동평가가 이루어짐
2. Internet Explorer Developer Toolbar 설치하여 수동검사</t>
    <phoneticPr fontId="2" type="noConversion"/>
  </si>
  <si>
    <t>T</t>
    <phoneticPr fontId="2" type="noConversion"/>
  </si>
  <si>
    <t>결과 값</t>
    <phoneticPr fontId="2" type="noConversion"/>
  </si>
  <si>
    <t>P</t>
    <phoneticPr fontId="2" type="noConversion"/>
  </si>
  <si>
    <t>버전</t>
  </si>
  <si>
    <t>개정일자</t>
  </si>
  <si>
    <t>작성자</t>
  </si>
  <si>
    <t>승인자</t>
  </si>
  <si>
    <t>[1] 개정 사유: 제정 또는 개정 내용이 이전 문서에 대해 추가/수정/삭제인지 선택 기입</t>
  </si>
  <si>
    <t>[2] 개정 내역: 개정이 발생하는 페이지 번호와 변경 내용을 기술</t>
  </si>
  <si>
    <t>2. 운용의 용이성</t>
    <phoneticPr fontId="2" type="noConversion"/>
  </si>
  <si>
    <t>3. 이해의 용이성</t>
    <phoneticPr fontId="2" type="noConversion"/>
  </si>
  <si>
    <t>4. 견고성</t>
    <phoneticPr fontId="2" type="noConversion"/>
  </si>
  <si>
    <t>1. 대체 텍스트</t>
    <phoneticPr fontId="2" type="noConversion"/>
  </si>
  <si>
    <t>2. 멀티미디어 대체 수단</t>
    <phoneticPr fontId="2" type="noConversion"/>
  </si>
  <si>
    <t>3. 명료성</t>
    <phoneticPr fontId="2" type="noConversion"/>
  </si>
  <si>
    <t>1. 입력장치 접근성</t>
    <phoneticPr fontId="2" type="noConversion"/>
  </si>
  <si>
    <t>2. 충분한 시간 제공</t>
    <phoneticPr fontId="2" type="noConversion"/>
  </si>
  <si>
    <t>3. 광과민성 발작 예방</t>
    <phoneticPr fontId="2" type="noConversion"/>
  </si>
  <si>
    <t>4. 쉬운 내비게이션</t>
    <phoneticPr fontId="2" type="noConversion"/>
  </si>
  <si>
    <t>1. 가독성</t>
    <phoneticPr fontId="2" type="noConversion"/>
  </si>
  <si>
    <t>2. 예측 가능성</t>
    <phoneticPr fontId="2" type="noConversion"/>
  </si>
  <si>
    <t>3. 콘텐츠의 논리성</t>
    <phoneticPr fontId="2" type="noConversion"/>
  </si>
  <si>
    <t>4. 입력 도움</t>
    <phoneticPr fontId="2" type="noConversion"/>
  </si>
  <si>
    <t>1. 문법 준수</t>
    <phoneticPr fontId="2" type="noConversion"/>
  </si>
  <si>
    <t>2. 웹 애플리케이션 접근성</t>
    <phoneticPr fontId="2" type="noConversion"/>
  </si>
  <si>
    <t>헤더</t>
  </si>
  <si>
    <t>푸터</t>
  </si>
  <si>
    <t>메인 메뉴</t>
  </si>
  <si>
    <t>서브 메뉴</t>
  </si>
  <si>
    <t>탭</t>
  </si>
  <si>
    <t>브래드크럼</t>
  </si>
  <si>
    <t>사이트맵</t>
  </si>
  <si>
    <t>통합 검색</t>
  </si>
  <si>
    <t>검색 결과</t>
  </si>
  <si>
    <t>목록 보기</t>
  </si>
  <si>
    <t>상세 내용 보기</t>
  </si>
  <si>
    <t>관련 콘텐츠</t>
  </si>
  <si>
    <t>회원 가입</t>
  </si>
  <si>
    <t>약관 동의</t>
  </si>
  <si>
    <t>주소 찾기</t>
  </si>
  <si>
    <t>신청서 작성</t>
  </si>
  <si>
    <t>제품 상세 정보 보기</t>
  </si>
  <si>
    <t>장바구니 확인</t>
  </si>
  <si>
    <t>모달</t>
  </si>
  <si>
    <t>확인</t>
  </si>
  <si>
    <t>오류</t>
  </si>
  <si>
    <t>직원 검색</t>
  </si>
  <si>
    <t>기관 위치 확인</t>
  </si>
  <si>
    <t>도움말 찾기</t>
  </si>
  <si>
    <t>1. 브랜드 영역</t>
  </si>
  <si>
    <t>핵심적인 정보만을 간결하게 제공하고 있다.</t>
  </si>
  <si>
    <t>전자정부 공식웹사이트 안내영역을 페이지 최상단에 배치하고 있다.</t>
  </si>
  <si>
    <t>로고와 웹사이트 이름을 좌측 상단에 배치하고 있다.</t>
  </si>
  <si>
    <t>메인메뉴와 검색은 웹사이트의 목적에 맞도록 배치하고 있다.</t>
  </si>
  <si>
    <t>개인정보처리방침을 표시하고 있다.</t>
  </si>
  <si>
    <t>전자상거래가 포함된 경우, 이용약관을 표시하고 있다.</t>
  </si>
  <si>
    <t>웹사이트 내부 링크는 좌측에 외부링크는 우측에 배치하고 있다.</t>
  </si>
  <si>
    <t>사용자들이 빈번하게 찾는 링크를 배치하고 있다.</t>
  </si>
  <si>
    <t>2. 탐색</t>
  </si>
  <si>
    <t>링크를 우선순위에 따라 배치하고 있다.</t>
  </si>
  <si>
    <t>링크의 활성화 상태가 명확히 구분되도록 표현하고 있다.</t>
  </si>
  <si>
    <t>링크명에 이해하기 쉬운 용어를 사용하고 있다.</t>
  </si>
  <si>
    <t>링크는 최소한으로 사용하고 있다.</t>
  </si>
  <si>
    <t>메인 메뉴를 숨기지 않은 상태로 제공하고 있다.</t>
  </si>
  <si>
    <t>메뉴의 길이를 적절하게 제공하고 있다.</t>
  </si>
  <si>
    <t>메뉴의 계층구조를 명확하게 구분하여 표현하고 있다.</t>
  </si>
  <si>
    <t>동일한 수준의 탭은 일관성 있게 표현하고 있다.</t>
  </si>
  <si>
    <t>선택된 탭의 표현을 강조하고 있다.</t>
  </si>
  <si>
    <t>선택되지 않은 탭의 내용도 확인할 수 있도록 표현하고 있다.</t>
  </si>
  <si>
    <t>탭 메뉴를 단일행으로 제공하고 있다.</t>
  </si>
  <si>
    <t>각각의 경로를 링크로 제공하고 있다.</t>
  </si>
  <si>
    <t>모든 페이지에서 일관된 위치에 배치하고 있다.</t>
  </si>
  <si>
    <t>적절한 기호와 이미지를 활용하여 경로 간 관계를 표시하고 있다.</t>
  </si>
  <si>
    <t>가장 하위수준의 경로를 명확하게 구분하여 표현하고 있다.</t>
  </si>
  <si>
    <t>링크 목록은 사이트 구조에 맞게 계층화하여 표현하고 있다.</t>
  </si>
  <si>
    <t>외부 사이트나 새 창으로 연결되는 링크를 분명하게 구분하고 있다.</t>
  </si>
  <si>
    <t>통합검색 기능은 검색상자와 검색버튼으로 제공하고 있다.</t>
  </si>
  <si>
    <t>검색이라는 의미를 보편적으로 인식할 수 있는 레이블과 아이콘을 사용하고 있다.</t>
  </si>
  <si>
    <t>통합검색은 웹사이트의 모든 페이지에서 접근 가능하도록 제공하고 있다.</t>
  </si>
  <si>
    <t>검색창 내에 검색어에 대한 안내를 제공하고 있다.</t>
  </si>
  <si>
    <t>조건검색이 기본 옵션으로 포함되지 않도록 제공하고 있다.</t>
  </si>
  <si>
    <t>자동완성 기능을 제공하고 있다.</t>
  </si>
  <si>
    <t>개인화 검색기능을 제공하고 있다.</t>
  </si>
  <si>
    <t>검색결과 페이지에 검색창이 유지되고 있다.</t>
  </si>
  <si>
    <t>검색어와 일치하는 항목을 강조하여 표현하고 있다.</t>
  </si>
  <si>
    <t>입력한 검색어와 검색결과 수를 표시하고 있다.</t>
  </si>
  <si>
    <t>검색결과가 없는 경우, 결과를 명확하게 알리고 적절한 대안을 제공하고 있다.</t>
  </si>
  <si>
    <t>4. 콘텐츠</t>
  </si>
  <si>
    <t>중요한 항목은 목록의 상단에 배치하고 있다.</t>
  </si>
  <si>
    <t>항목을 의미 있는 단위로 구분하고 논리적인 순서에 따라 정렬하고 있다.</t>
  </si>
  <si>
    <t>강조를 위한 시각적 표현을 적절하게 사용하고 있다.</t>
  </si>
  <si>
    <t>긴 목록은 페이지 등으로 단위를 나누어 제공하고 있다.</t>
  </si>
  <si>
    <t>규모가 큰 목록에 필터링 또는 검색 기능을 제공하고 있다.</t>
  </si>
  <si>
    <t>콘텐츠 작성/업로드</t>
  </si>
  <si>
    <t>작성방법은 플레이스홀더가 아닌 텍스트로 제공하고 있다.</t>
  </si>
  <si>
    <t>버튼을 용도 및 기능을 기준으로 분명하게 구분하고 있다.</t>
  </si>
  <si>
    <t>등록 가능한 텍스트 및 파일크기를 표시하고 있다.</t>
  </si>
  <si>
    <t>입력 세션 유지시간을 표시하고 있다.</t>
  </si>
  <si>
    <t>콘텐츠의 작성자, 작성일, 출처, 저작권을 표시하고 있다.</t>
  </si>
  <si>
    <t>제목은 다른 요소들과 분명하게 구분되도록 표현하고 있다.</t>
  </si>
  <si>
    <t>콘텐츠 요소들 사이의 계층구조를 명확하게 구분하고 있다.</t>
  </si>
  <si>
    <t>문단과 문장은 최대한 간단명료하게 구성하고 있다.</t>
  </si>
  <si>
    <t>핵심 주제를 첫 문단, 첫 문장에 제공하고 있다.</t>
  </si>
  <si>
    <t>인포그래픽, 사진, 동영상 등의 콘텐츠를 적절하게 활용하고 있다.</t>
  </si>
  <si>
    <t>댓글 남기기/읽기</t>
  </si>
  <si>
    <t>댓글입력에 사용하는 텍스트 입력필드의 크기를 적절하게 제공하고 있다.</t>
  </si>
  <si>
    <t>텍스트 입력필드를 콘텐츠 주변에 제공하고 있다.</t>
  </si>
  <si>
    <t>댓글을 적절하게 구조화하여 표현하고 있다.</t>
  </si>
  <si>
    <t>작성자/관리자가 남긴 댓글을 다른 댓글과 분명하게 구분하고 있다.</t>
  </si>
  <si>
    <t>페이징을 적절하게 사용하고 있다.</t>
  </si>
  <si>
    <t>관리자가 댓글을 삭제할 경우, 삭제 이유를 명확하게 제공하고 있다.</t>
  </si>
  <si>
    <t>공유/공감</t>
  </si>
  <si>
    <t>공유/공감 아이콘은 관련된 대상 주변에 제공하고 있다.</t>
  </si>
  <si>
    <t>여러 가지 방식의 공유 기능을 제공하고 있다.</t>
  </si>
  <si>
    <t>공감수 기준의 정렬 기능을 제공하고 있다.</t>
  </si>
  <si>
    <t>공감을 표시한 사용자의 정보가 다른 사용자에게 표시되지 않도록 하고 있다.</t>
  </si>
  <si>
    <t>사용자의 목표나 선호와 관련 있는 콘텐츠를 제공하고 있다.</t>
  </si>
  <si>
    <t>관련 콘텐츠 목록의 제목을 적절하게 제공하고 있다.</t>
  </si>
  <si>
    <t>상세내용 주변 에 관련 콘텐츠 목록을 배치하고 있다.</t>
  </si>
  <si>
    <t>관련 콘텐츠 목록 주변에 광고배너 또는 시선을 끄는 요소가 배치되지 않도록 하고 있다.</t>
  </si>
  <si>
    <t>5. 회원</t>
  </si>
  <si>
    <t>최소한의 정보만 요구하고 있다.</t>
  </si>
  <si>
    <t>입력이 필요한 데이터의 용도를 명확하게 설명하고 있다.</t>
  </si>
  <si>
    <t>아이디, 비밀번호 입력양식에 대해 사전에 정확하게 안내하고 있다.</t>
  </si>
  <si>
    <t>비밀번호 입력필드에 입력한 문자를 확인할 수 있도록 표시하고 있다.</t>
  </si>
  <si>
    <t>비밀번호의 보안수준을 적절하게 설정하고 있다.</t>
  </si>
  <si>
    <t>오류 메시지는 제출버튼을 누르기 이전에 실시간으로 표시하고 있다.</t>
  </si>
  <si>
    <t>회원 가입 이외에 공개인증(OAuth)을 이용한 인증수단을 제공하고 있다.</t>
  </si>
  <si>
    <t>제출 버튼의 레이블에 구체적인 행동을 반영하여 제공하고 있다.</t>
  </si>
  <si>
    <t>동의하지 않음 옵션을 제공하고 있다.</t>
  </si>
  <si>
    <t>동의함/동의하지 않음 옵션은 다른 요소와 명확하게 구분하여 표현하고 있다.</t>
  </si>
  <si>
    <t>로그인/인증</t>
  </si>
  <si>
    <t>로그인은 반드시 필요한 상황에서만 유도하고 있다.</t>
  </si>
  <si>
    <t>아이디 형식에 대한 단서를 사전에 제공하고 있다.</t>
  </si>
  <si>
    <t>로그인 양식 주변에 아이디/비밀번호 찾기 링크를 제공하고 있다.</t>
  </si>
  <si>
    <t>로그인 정보를 저장할 수 있는 옵션을 제공하고 있다.</t>
  </si>
  <si>
    <t>로그인 상태로의 전환을 명확하게 표시하고 있다.</t>
  </si>
  <si>
    <t>로그아웃할 수 있는 방법을 분명하게 표시하고 있다.</t>
  </si>
  <si>
    <t>주소찾기 팝업버튼의 레이블을 명확하게 제공하고 있다.</t>
  </si>
  <si>
    <t>별도의 팝업을 통해 주소를 입력하는 경우, 주소 입력필드의 비활성화 상태를 명확하게 표현하고 있다.</t>
  </si>
  <si>
    <t>입력받을 주소체계를 명확하게 표시하고 있다.</t>
  </si>
  <si>
    <t>6. 신청 / 조회 / 발행</t>
  </si>
  <si>
    <t>레이블과 설명은 입력필드 주변에 제공하고 있다.</t>
  </si>
  <si>
    <t>입력필드의 크기는 적절하게 제공하고 있다.</t>
  </si>
  <si>
    <t>필수입력 요소, 편집 가능한 요소가 명확하게 구분되도록 표현하고 있다.</t>
  </si>
  <si>
    <t>입력값의 단위를 표시하고 있다.</t>
  </si>
  <si>
    <t>사용자가 잘못 입력/선택한 값을 자동으로 삭제하지 않고 있다.</t>
  </si>
  <si>
    <t>초기화 버튼은 다른 버튼과 명확하게 구분하고 있다.</t>
  </si>
  <si>
    <t>신청 내역 확인 /취소</t>
  </si>
  <si>
    <t>내역을 적절하게 구조화하여 제공하고 있다.</t>
  </si>
  <si>
    <t>정렬 기능을 제공하고 있다.</t>
  </si>
  <si>
    <t>일괄 선택 기능을 제공하고 있다.</t>
  </si>
  <si>
    <t>신청취소 버튼을 명확하게 구분할 수 있도록 표현하고 있다.</t>
  </si>
  <si>
    <t>7. 구매 / 결제</t>
  </si>
  <si>
    <t>제품의 상세정보를 적절한 양으로 제공하고 있다.</t>
  </si>
  <si>
    <t>적절한 품질의 제품 상세 이미지를 제공하고 있다.</t>
  </si>
  <si>
    <t>제품의 이용 가능 상태를 사전에 표시하고 있다.</t>
  </si>
  <si>
    <t>제품 옵션에 대한 도움말을 제공하고 있다.</t>
  </si>
  <si>
    <t>버튼은 서로 명확하게 구분되도록 표현하고 있다.</t>
  </si>
  <si>
    <t>제품의 중요 정보를 요약하여 제공하고 있다.</t>
  </si>
  <si>
    <t>제품 상세 페이지로 이동할 수 있는 링크를 제공하고 있다.</t>
  </si>
  <si>
    <t>제품 삭제 버튼을 명확하게 표현하고 있다.</t>
  </si>
  <si>
    <t>제품 상세 옵션을 변경할 수 있는 수단을 제공하고 있다.</t>
  </si>
  <si>
    <t>전체 제품에 관한 요약된 정보를 제공하고 있다.</t>
  </si>
  <si>
    <t>다음 단계로 이동하는 버튼을 분명하게 표현하고 있다.</t>
  </si>
  <si>
    <t>주문/결제 정보 입력</t>
  </si>
  <si>
    <t>관련된 정보를 동일한 섹션으로 구분하여 제공하고 있다.</t>
  </si>
  <si>
    <t>주문자, 배송, 결제 주소 정보는 동일한 기본값으로 설정하고 있다.</t>
  </si>
  <si>
    <t>가격, 배송지 정보 및 구매 버튼 영역을 화면 우측이나 하단에 고정하여 제공하고 있다.</t>
  </si>
  <si>
    <t>회원가입이나 로그인 없는 구매 방법을 제공하고 있다.</t>
  </si>
  <si>
    <t>다양한 결제 수단을 제공하고 있다.</t>
  </si>
  <si>
    <t>8. 안내</t>
  </si>
  <si>
    <t>모달과 주변 영역을 명확하게 구분하고 있다.</t>
  </si>
  <si>
    <t>모달에 스크롤이 생성되지 않도록 제공하고 있다.</t>
  </si>
  <si>
    <t>모달은 단계적이지 않고, 단순한 정보를 전달하는 데 사용하고 있다.</t>
  </si>
  <si>
    <t>하나의 모달이 다른 모달을 실행하지 않도록 제공하고 있다.</t>
  </si>
  <si>
    <t>행위 관련 버튼은 최대 2개만 제공하고 있다.</t>
  </si>
  <si>
    <t>확인은 심각하거나 취소가 어려운 행동에 사용하고 있다.</t>
  </si>
  <si>
    <t>상황에 대한 명확하고 간결한 설명을 제공하고 있다.</t>
  </si>
  <si>
    <t>행동을 확정, 취소할 수 있는 버튼을 모두 제공하고 있다.</t>
  </si>
  <si>
    <t>버튼의 레이블에 행동을 구체적으로 설명하고 있다.</t>
  </si>
  <si>
    <t>빠르게 인지할 수 있도록 표현하고 있다.</t>
  </si>
  <si>
    <t>발생한 오류 및 문제를 명확하게 설명하고 있다.</t>
  </si>
  <si>
    <t>오류를 수정할 수 있는 방법을 제공하고 있다.</t>
  </si>
  <si>
    <t>정중한 문체를 사용하고 있다.</t>
  </si>
  <si>
    <t>9. 지원 / 기타</t>
  </si>
  <si>
    <t>직원 목록에 직원의 이름, 부서, 담당업무, 연락처를 표시하고 있다.</t>
  </si>
  <si>
    <t>검색 입력폼과 전체 직원 목록을 함께 제공하고 있다.</t>
  </si>
  <si>
    <t>담당업무는 쉬운 용어로 간결하게 제공하고 있다.</t>
  </si>
  <si>
    <t>모든 정보는 정확하게 제공하고 있다.</t>
  </si>
  <si>
    <t>기관의 위치를 표시한 약도나 지도를 제공하고 있다.</t>
  </si>
  <si>
    <t>약도는 위치 및 주변 정보를 적절하게 도식화하여 제공하고 있다.</t>
  </si>
  <si>
    <t>다양한 접근 방법을 알기 쉽게 구조화하여 표현하고 있다.</t>
  </si>
  <si>
    <t>위치 확인에 참고할 수 있는 유용한 링크를 제공하고 있다.</t>
  </si>
  <si>
    <t>제목은 사용자가 겪는 문제점을 반영하여 제공하고 있다.</t>
  </si>
  <si>
    <t>목록을 유형별로 분류하여 제공하고 있다.</t>
  </si>
  <si>
    <t>관리자에게 직접 문의할 수 있는 링크를 제공하고 있다.</t>
  </si>
  <si>
    <t>웹사이트 품질진단 점검표(종합)</t>
    <phoneticPr fontId="2" type="noConversion"/>
  </si>
  <si>
    <t>웹사이트 호환성</t>
    <phoneticPr fontId="2" type="noConversion"/>
  </si>
  <si>
    <t>웹사이트 접근성</t>
    <phoneticPr fontId="2" type="noConversion"/>
  </si>
  <si>
    <t>웹사이트 개방성</t>
    <phoneticPr fontId="2" type="noConversion"/>
  </si>
  <si>
    <t>웹사이트 접속성</t>
    <phoneticPr fontId="2" type="noConversion"/>
  </si>
  <si>
    <t>웹사이트 편의성</t>
    <phoneticPr fontId="2" type="noConversion"/>
  </si>
  <si>
    <t>웹사이트 효율성</t>
    <phoneticPr fontId="2" type="noConversion"/>
  </si>
  <si>
    <t>웹사이트 신뢰성</t>
    <phoneticPr fontId="2" type="noConversion"/>
  </si>
  <si>
    <t>웹사이트 구축 운영 시 웹표준 기술 사용 다양한 웹브라우저에서도 동등한 서비스 제공</t>
  </si>
  <si>
    <t>이용자가 신체적 또는 인지적 제약 등으로 인한 불편함 없이 웹사이트에서 제공하는 정보와 위치식별 등 기능에 쉽게 접근할 수 있도록 보장</t>
  </si>
  <si>
    <t>특정 검색엔진을 통해 웹사이트에 공개된 정보를 제약 없이 : 이용할 수 있도록 보장</t>
  </si>
  <si>
    <t>웹사이트의 디자인 스타일 기능 등을 이용자 중심으로 구현하여 편의성 확보</t>
  </si>
  <si>
    <t>웹사이트의 유사 중복 또는 이용 활성화 수준이 낮은 경우 등은 통합 구축 고려</t>
  </si>
  <si>
    <t>웹사이트에 공개된 정보의 오류 개인정보 노출 여부 게시판 등 점검 개선</t>
  </si>
  <si>
    <t>웹사이트가 웹브라우저에 표시되기까지의 응답시간 속도 용량 링크 연결 등을 최적의 상태로 제공</t>
    <phoneticPr fontId="2" type="noConversion"/>
  </si>
  <si>
    <t>단위테스트 시</t>
    <phoneticPr fontId="2" type="noConversion"/>
  </si>
  <si>
    <t>시스템테스트 시</t>
    <phoneticPr fontId="2" type="noConversion"/>
  </si>
  <si>
    <t>성과보고 시</t>
    <phoneticPr fontId="2" type="noConversion"/>
  </si>
  <si>
    <t>인도테스트 시</t>
    <phoneticPr fontId="2" type="noConversion"/>
  </si>
  <si>
    <t>meta 태그에 noindex, nofollow 속성 사용했는지 F12 개발자 도구 이용해 진단</t>
    <phoneticPr fontId="2" type="noConversion"/>
  </si>
  <si>
    <t>메인 페이지에서 주소창의 URL과 하위 페이지들의 URL을 비교</t>
    <phoneticPr fontId="2" type="noConversion"/>
  </si>
  <si>
    <t>공공 웹사이트 플러그인 제거 가이드라인(행정안전부 배포)을 준수하고 있는가?
※ 표준 기술 사용을 위한 비표준 기술 제거 점검
- 웹 표준이 아닌 방식으로 멀티미디어(플래시, 실버라이트, 자바 애플릿, 미디어플레이어 등)를 사용하는 경우
- 개인정보보호, 정보보안을 위해 액티브X, 실행파일(EXE파일) 등을 사용하는 경우</t>
    <phoneticPr fontId="2" type="noConversion"/>
  </si>
  <si>
    <t>전체 페이지</t>
    <phoneticPr fontId="2" type="noConversion"/>
  </si>
  <si>
    <t>메인 URL</t>
    <phoneticPr fontId="2" type="noConversion"/>
  </si>
  <si>
    <t>메인 URL</t>
    <phoneticPr fontId="2" type="noConversion"/>
  </si>
  <si>
    <t>사이트</t>
    <phoneticPr fontId="2" type="noConversion"/>
  </si>
  <si>
    <t>V1.0</t>
    <phoneticPr fontId="2" type="noConversion"/>
  </si>
  <si>
    <t>개정이력</t>
    <phoneticPr fontId="2" type="noConversion"/>
  </si>
  <si>
    <r>
      <t>개정사유</t>
    </r>
    <r>
      <rPr>
        <b/>
        <vertAlign val="superscript"/>
        <sz val="11"/>
        <rFont val="맑은 고딕"/>
        <family val="3"/>
        <charset val="129"/>
        <scheme val="minor"/>
      </rPr>
      <t>[1]</t>
    </r>
    <phoneticPr fontId="2" type="noConversion"/>
  </si>
  <si>
    <r>
      <t>개정내역</t>
    </r>
    <r>
      <rPr>
        <b/>
        <vertAlign val="superscript"/>
        <sz val="11"/>
        <rFont val="맑은 고딕"/>
        <family val="3"/>
        <charset val="129"/>
        <scheme val="minor"/>
      </rPr>
      <t>[2]</t>
    </r>
    <phoneticPr fontId="2" type="noConversion"/>
  </si>
  <si>
    <t>1.0</t>
  </si>
  <si>
    <t>제정</t>
  </si>
  <si>
    <t>최초제정</t>
  </si>
  <si>
    <t>진단 분야</t>
    <phoneticPr fontId="21" type="noConversion"/>
  </si>
  <si>
    <t>내용</t>
    <phoneticPr fontId="21" type="noConversion"/>
  </si>
  <si>
    <t>진단 시기</t>
    <phoneticPr fontId="21" type="noConversion"/>
  </si>
  <si>
    <t>대상</t>
    <phoneticPr fontId="21" type="noConversion"/>
  </si>
  <si>
    <t>전체
(디자인 표준)</t>
    <phoneticPr fontId="2" type="noConversion"/>
  </si>
  <si>
    <r>
      <t xml:space="preserve">1. </t>
    </r>
    <r>
      <rPr>
        <sz val="10"/>
        <color indexed="8"/>
        <rFont val="맑은 고딕"/>
        <family val="3"/>
        <charset val="129"/>
        <scheme val="major"/>
      </rPr>
      <t>웹페이지 응답속도</t>
    </r>
  </si>
  <si>
    <r>
      <t xml:space="preserve">2. </t>
    </r>
    <r>
      <rPr>
        <sz val="10"/>
        <color indexed="8"/>
        <rFont val="맑은 고딕"/>
        <family val="3"/>
        <charset val="129"/>
        <scheme val="major"/>
      </rPr>
      <t>웹페이지 용량</t>
    </r>
  </si>
  <si>
    <r>
      <t xml:space="preserve">1. </t>
    </r>
    <r>
      <rPr>
        <sz val="10"/>
        <color indexed="8"/>
        <rFont val="맑은 고딕"/>
        <family val="3"/>
        <charset val="129"/>
        <scheme val="major"/>
      </rPr>
      <t>특정 검색엔진 접근</t>
    </r>
  </si>
  <si>
    <r>
      <t>웹 방화벽이나 웹 서버 운영정책에 따라 특정 검색엔진의 접속이나</t>
    </r>
    <r>
      <rPr>
        <sz val="10"/>
        <color indexed="8"/>
        <rFont val="맑은 고딕"/>
        <family val="3"/>
        <charset val="129"/>
        <scheme val="major"/>
      </rPr>
      <t xml:space="preserve"> 특정 콘텐츠에 대한 접근 및 열람이 차단되지 않았는가?</t>
    </r>
  </si>
  <si>
    <r>
      <t xml:space="preserve">2. </t>
    </r>
    <r>
      <rPr>
        <sz val="10"/>
        <color indexed="8"/>
        <rFont val="맑은 고딕"/>
        <family val="3"/>
        <charset val="129"/>
        <scheme val="major"/>
      </rPr>
      <t>검색 로봇 접근</t>
    </r>
  </si>
  <si>
    <r>
      <t xml:space="preserve">3. </t>
    </r>
    <r>
      <rPr>
        <sz val="10"/>
        <color indexed="8"/>
        <rFont val="맑은 고딕"/>
        <family val="3"/>
        <charset val="129"/>
        <scheme val="major"/>
      </rPr>
      <t>페이지 정보 수집</t>
    </r>
  </si>
  <si>
    <r>
      <t xml:space="preserve">4. </t>
    </r>
    <r>
      <rPr>
        <sz val="10"/>
        <color indexed="8"/>
        <rFont val="맑은 고딕"/>
        <family val="3"/>
        <charset val="129"/>
        <scheme val="major"/>
      </rPr>
      <t>페이지별 URL 검색</t>
    </r>
  </si>
  <si>
    <r>
      <rPr>
        <b/>
        <sz val="10"/>
        <rFont val="맑은 고딕"/>
        <family val="3"/>
        <charset val="129"/>
        <scheme val="major"/>
      </rPr>
      <t>적절한 대체 텍스트 제공</t>
    </r>
    <r>
      <rPr>
        <sz val="10"/>
        <rFont val="맑은 고딕"/>
        <family val="3"/>
        <charset val="129"/>
        <scheme val="major"/>
      </rPr>
      <t xml:space="preserve">
텍스트 아닌 콘텐츠는 그 의미나 용도를 인식할 수 있도록 대체 텍스트를 제공해야 한다.</t>
    </r>
    <phoneticPr fontId="2" type="noConversion"/>
  </si>
  <si>
    <r>
      <rPr>
        <b/>
        <sz val="10"/>
        <rFont val="맑은 고딕"/>
        <family val="3"/>
        <charset val="129"/>
        <scheme val="major"/>
      </rPr>
      <t>자막 제공</t>
    </r>
    <r>
      <rPr>
        <sz val="10"/>
        <rFont val="맑은 고딕"/>
        <family val="3"/>
        <charset val="129"/>
        <scheme val="major"/>
      </rPr>
      <t xml:space="preserve">
멀티미디어 콘텐츠에는 자막, 대본 또는 수화를 제공해야 한다.</t>
    </r>
    <phoneticPr fontId="2" type="noConversion"/>
  </si>
  <si>
    <r>
      <rPr>
        <b/>
        <sz val="10"/>
        <rFont val="맑은 고딕"/>
        <family val="3"/>
        <charset val="129"/>
        <scheme val="major"/>
      </rPr>
      <t>색에 무관한 콘텐츠 인식</t>
    </r>
    <r>
      <rPr>
        <sz val="10"/>
        <rFont val="맑은 고딕"/>
        <family val="3"/>
        <charset val="129"/>
        <scheme val="major"/>
      </rPr>
      <t xml:space="preserve">
콘텐츠는 색에 관계없이 인식될 수 있어야 한다.</t>
    </r>
    <phoneticPr fontId="2" type="noConversion"/>
  </si>
  <si>
    <r>
      <rPr>
        <b/>
        <sz val="10"/>
        <rFont val="맑은 고딕"/>
        <family val="3"/>
        <charset val="129"/>
        <scheme val="major"/>
      </rPr>
      <t>명확한 지시 사항 제공</t>
    </r>
    <r>
      <rPr>
        <sz val="10"/>
        <rFont val="맑은 고딕"/>
        <family val="3"/>
        <charset val="129"/>
        <scheme val="major"/>
      </rPr>
      <t xml:space="preserve">
- 지시 사항은 모양, 크기, 위치, 방향, 색, 소리 등에 관계없이 인식될 수 있어야 한다.</t>
    </r>
    <phoneticPr fontId="2" type="noConversion"/>
  </si>
  <si>
    <r>
      <rPr>
        <b/>
        <sz val="10"/>
        <rFont val="맑은 고딕"/>
        <family val="3"/>
        <charset val="129"/>
        <scheme val="major"/>
      </rPr>
      <t xml:space="preserve">자동 재생 금지
</t>
    </r>
    <r>
      <rPr>
        <sz val="10"/>
        <rFont val="맑은 고딕"/>
        <family val="3"/>
        <charset val="129"/>
        <scheme val="major"/>
      </rPr>
      <t>자동으로 소리가 재생되지 않아야 한다.</t>
    </r>
    <phoneticPr fontId="2" type="noConversion"/>
  </si>
  <si>
    <r>
      <rPr>
        <b/>
        <sz val="10"/>
        <rFont val="맑은 고딕"/>
        <family val="3"/>
        <charset val="129"/>
        <scheme val="major"/>
      </rPr>
      <t xml:space="preserve">콘텐츠 간의 구분
</t>
    </r>
    <r>
      <rPr>
        <sz val="10"/>
        <rFont val="맑은 고딕"/>
        <family val="3"/>
        <charset val="129"/>
        <scheme val="major"/>
      </rPr>
      <t>이웃한 콘텐츠는 구별될 수 있어야 한다.</t>
    </r>
    <phoneticPr fontId="2" type="noConversion"/>
  </si>
  <si>
    <r>
      <rPr>
        <b/>
        <sz val="10"/>
        <rFont val="맑은 고딕"/>
        <family val="3"/>
        <charset val="129"/>
        <scheme val="major"/>
      </rPr>
      <t xml:space="preserve">키보드 사용 보장
</t>
    </r>
    <r>
      <rPr>
        <sz val="10"/>
        <rFont val="맑은 고딕"/>
        <family val="3"/>
        <charset val="129"/>
        <scheme val="major"/>
      </rPr>
      <t>모든 기능은 키보드만으로도 사용할 수 있어야 한다.</t>
    </r>
    <phoneticPr fontId="2" type="noConversion"/>
  </si>
  <si>
    <r>
      <rPr>
        <b/>
        <sz val="10"/>
        <rFont val="맑은 고딕"/>
        <family val="3"/>
        <charset val="129"/>
        <scheme val="major"/>
      </rPr>
      <t>조작 가능</t>
    </r>
    <r>
      <rPr>
        <sz val="10"/>
        <rFont val="맑은 고딕"/>
        <family val="3"/>
        <charset val="129"/>
        <scheme val="major"/>
      </rPr>
      <t xml:space="preserve">
사용자 입력 및 컨트롤은 조작 가능하도록 제공 되어야 한다.</t>
    </r>
    <phoneticPr fontId="2" type="noConversion"/>
  </si>
  <si>
    <r>
      <rPr>
        <b/>
        <sz val="10"/>
        <rFont val="맑은 고딕"/>
        <family val="3"/>
        <charset val="129"/>
        <scheme val="major"/>
      </rPr>
      <t>응답시간 조절</t>
    </r>
    <r>
      <rPr>
        <sz val="10"/>
        <rFont val="맑은 고딕"/>
        <family val="3"/>
        <charset val="129"/>
        <scheme val="major"/>
      </rPr>
      <t xml:space="preserve">
시간 제한이 있는 콘텐츠는 응답시간을 조절할 수 있어야 한다.</t>
    </r>
    <phoneticPr fontId="2" type="noConversion"/>
  </si>
  <si>
    <r>
      <rPr>
        <b/>
        <sz val="10"/>
        <rFont val="맑은 고딕"/>
        <family val="3"/>
        <charset val="129"/>
        <scheme val="major"/>
      </rPr>
      <t xml:space="preserve">정지 기능 제공
</t>
    </r>
    <r>
      <rPr>
        <sz val="10"/>
        <rFont val="맑은 고딕"/>
        <family val="3"/>
        <charset val="129"/>
        <scheme val="major"/>
      </rPr>
      <t>자동으로 변경되는 콘텐츠는 움직임을 제어할 수 있어야 한다.</t>
    </r>
    <phoneticPr fontId="2" type="noConversion"/>
  </si>
  <si>
    <r>
      <rPr>
        <b/>
        <sz val="10"/>
        <rFont val="맑은 고딕"/>
        <family val="3"/>
        <charset val="129"/>
        <scheme val="major"/>
      </rPr>
      <t>깜빡임과 번쩍임 사용 제한</t>
    </r>
    <r>
      <rPr>
        <sz val="10"/>
        <rFont val="맑은 고딕"/>
        <family val="3"/>
        <charset val="129"/>
        <scheme val="major"/>
      </rPr>
      <t xml:space="preserve">
초당 3~50 회 주기로 깜빡이거나 번쩍이는 콘텐츠를 제공하지 않아야 한다.</t>
    </r>
    <phoneticPr fontId="2" type="noConversion"/>
  </si>
  <si>
    <r>
      <rPr>
        <b/>
        <sz val="10"/>
        <rFont val="맑은 고딕"/>
        <family val="3"/>
        <charset val="129"/>
        <scheme val="major"/>
      </rPr>
      <t>반복 영역 건너뛰기</t>
    </r>
    <r>
      <rPr>
        <sz val="10"/>
        <rFont val="맑은 고딕"/>
        <family val="3"/>
        <charset val="129"/>
        <scheme val="major"/>
      </rPr>
      <t xml:space="preserve">
콘텐츠의 반복되는 영역은 건너뛸 수 있어야 한다.</t>
    </r>
    <phoneticPr fontId="2" type="noConversion"/>
  </si>
  <si>
    <r>
      <rPr>
        <b/>
        <sz val="10"/>
        <rFont val="맑은 고딕"/>
        <family val="3"/>
        <charset val="129"/>
        <scheme val="major"/>
      </rPr>
      <t>제목 제공</t>
    </r>
    <r>
      <rPr>
        <sz val="10"/>
        <rFont val="맑은 고딕"/>
        <family val="3"/>
        <charset val="129"/>
        <scheme val="major"/>
      </rPr>
      <t xml:space="preserve">
페이지, 프레임, 콘텐츠 블록에는 적절한 제목을 제공해야 한다.</t>
    </r>
    <phoneticPr fontId="2" type="noConversion"/>
  </si>
  <si>
    <r>
      <rPr>
        <b/>
        <sz val="10"/>
        <rFont val="맑은 고딕"/>
        <family val="3"/>
        <charset val="129"/>
        <scheme val="major"/>
      </rPr>
      <t>적절한 링크 텍스트</t>
    </r>
    <r>
      <rPr>
        <sz val="10"/>
        <rFont val="맑은 고딕"/>
        <family val="3"/>
        <charset val="129"/>
        <scheme val="major"/>
      </rPr>
      <t xml:space="preserve">
링크 텍스트는 용도나 목적을 이해할 수 있도록 제공해야 한다.</t>
    </r>
    <phoneticPr fontId="2" type="noConversion"/>
  </si>
  <si>
    <r>
      <rPr>
        <b/>
        <sz val="10"/>
        <rFont val="맑은 고딕"/>
        <family val="3"/>
        <charset val="129"/>
        <scheme val="major"/>
      </rPr>
      <t>기본 언어 표시</t>
    </r>
    <r>
      <rPr>
        <sz val="10"/>
        <rFont val="맑은 고딕"/>
        <family val="3"/>
        <charset val="129"/>
        <scheme val="major"/>
      </rPr>
      <t xml:space="preserve">
주로 사용하는 언어를 명시해야 한다.</t>
    </r>
    <phoneticPr fontId="2" type="noConversion"/>
  </si>
  <si>
    <r>
      <rPr>
        <b/>
        <sz val="10"/>
        <rFont val="맑은 고딕"/>
        <family val="3"/>
        <charset val="129"/>
        <scheme val="major"/>
      </rPr>
      <t>사용자 요구에 따른 실행</t>
    </r>
    <r>
      <rPr>
        <sz val="10"/>
        <rFont val="맑은 고딕"/>
        <family val="3"/>
        <charset val="129"/>
        <scheme val="major"/>
      </rPr>
      <t xml:space="preserve">
사용자가 의도하지 않은 기능(새 창, 초점에 의한 맥락 변화 등)은 실행되지 않아야 한다.</t>
    </r>
    <phoneticPr fontId="2" type="noConversion"/>
  </si>
  <si>
    <r>
      <rPr>
        <b/>
        <sz val="10"/>
        <rFont val="맑은 고딕"/>
        <family val="3"/>
        <charset val="129"/>
        <scheme val="major"/>
      </rPr>
      <t>콘텐츠의 선형 구조</t>
    </r>
    <r>
      <rPr>
        <sz val="10"/>
        <rFont val="맑은 고딕"/>
        <family val="3"/>
        <charset val="129"/>
        <scheme val="major"/>
      </rPr>
      <t xml:space="preserve">
콘텐츠는 논리적인 순서로 제공 해야 한다.</t>
    </r>
    <phoneticPr fontId="2" type="noConversion"/>
  </si>
  <si>
    <r>
      <rPr>
        <b/>
        <sz val="10"/>
        <rFont val="맑은 고딕"/>
        <family val="3"/>
        <charset val="129"/>
        <scheme val="major"/>
      </rPr>
      <t>표의 구성</t>
    </r>
    <r>
      <rPr>
        <sz val="10"/>
        <rFont val="맑은 고딕"/>
        <family val="3"/>
        <charset val="129"/>
        <scheme val="major"/>
      </rPr>
      <t xml:space="preserve">
표는 이해하기 쉽게 구성해야 한다.</t>
    </r>
    <phoneticPr fontId="2" type="noConversion"/>
  </si>
  <si>
    <r>
      <rPr>
        <b/>
        <sz val="10"/>
        <rFont val="맑은 고딕"/>
        <family val="3"/>
        <charset val="129"/>
        <scheme val="major"/>
      </rPr>
      <t>레이블 제공</t>
    </r>
    <r>
      <rPr>
        <sz val="10"/>
        <rFont val="맑은 고딕"/>
        <family val="3"/>
        <charset val="129"/>
        <scheme val="major"/>
      </rPr>
      <t xml:space="preserve">
사용자 입력에는 대응하는 레이블을 제공해야 한다.</t>
    </r>
    <phoneticPr fontId="2" type="noConversion"/>
  </si>
  <si>
    <r>
      <rPr>
        <b/>
        <sz val="10"/>
        <rFont val="맑은 고딕"/>
        <family val="3"/>
        <charset val="129"/>
        <scheme val="major"/>
      </rPr>
      <t>오류 정정</t>
    </r>
    <r>
      <rPr>
        <sz val="10"/>
        <rFont val="맑은 고딕"/>
        <family val="3"/>
        <charset val="129"/>
        <scheme val="major"/>
      </rPr>
      <t xml:space="preserve">
입력 오류를 정정할 수 있는 방법을 제공해야 한다.</t>
    </r>
    <phoneticPr fontId="2" type="noConversion"/>
  </si>
  <si>
    <r>
      <rPr>
        <b/>
        <sz val="10"/>
        <color indexed="8"/>
        <rFont val="맑은 고딕"/>
        <family val="3"/>
        <charset val="129"/>
        <scheme val="major"/>
      </rPr>
      <t xml:space="preserve">마크업 오류 방지
</t>
    </r>
    <r>
      <rPr>
        <sz val="10"/>
        <color indexed="8"/>
        <rFont val="맑은 고딕"/>
        <family val="3"/>
        <charset val="129"/>
        <scheme val="major"/>
      </rPr>
      <t>마크업 언어의 요소는 열고 닫음, 중첩 관계 및 속성 선언에 오류가 없어야 한다.</t>
    </r>
    <phoneticPr fontId="2" type="noConversion"/>
  </si>
  <si>
    <r>
      <rPr>
        <b/>
        <sz val="10"/>
        <rFont val="맑은 고딕"/>
        <family val="3"/>
        <charset val="129"/>
        <scheme val="major"/>
      </rPr>
      <t>웹 애플리케이션 접근성 준수</t>
    </r>
    <r>
      <rPr>
        <sz val="10"/>
        <rFont val="맑은 고딕"/>
        <family val="3"/>
        <charset val="129"/>
        <scheme val="major"/>
      </rPr>
      <t xml:space="preserve">
콘텐츠에 포함된 웹 애플리케이션은 접근성이 있어야 한다.</t>
    </r>
    <phoneticPr fontId="2" type="noConversion"/>
  </si>
  <si>
    <r>
      <t>1.</t>
    </r>
    <r>
      <rPr>
        <sz val="10"/>
        <color indexed="8"/>
        <rFont val="맑은 고딕"/>
        <family val="3"/>
        <charset val="129"/>
        <scheme val="major"/>
      </rPr>
      <t>웹 표준
준수</t>
    </r>
    <phoneticPr fontId="2" type="noConversion"/>
  </si>
  <si>
    <r>
      <t>2.</t>
    </r>
    <r>
      <rPr>
        <sz val="10"/>
        <color indexed="8"/>
        <rFont val="맑은 고딕"/>
        <family val="3"/>
        <charset val="129"/>
        <scheme val="major"/>
      </rPr>
      <t>웹 호환성
확보</t>
    </r>
    <phoneticPr fontId="2" type="noConversion"/>
  </si>
  <si>
    <t>웹사이트 호환성(모바일)</t>
    <phoneticPr fontId="2" type="noConversion"/>
  </si>
  <si>
    <t>구분</t>
    <phoneticPr fontId="21" type="noConversion"/>
  </si>
  <si>
    <t>진단지표</t>
    <phoneticPr fontId="21" type="noConversion"/>
  </si>
  <si>
    <t>진단기준</t>
    <phoneticPr fontId="21" type="noConversion"/>
  </si>
  <si>
    <t>적용여부</t>
    <phoneticPr fontId="21" type="noConversion"/>
  </si>
  <si>
    <t>진단방법</t>
    <phoneticPr fontId="21" type="noConversion"/>
  </si>
  <si>
    <t>비고</t>
    <phoneticPr fontId="21" type="noConversion"/>
  </si>
  <si>
    <t>검사항목 (24개)</t>
    <phoneticPr fontId="21" type="noConversion"/>
  </si>
  <si>
    <t>지침 (13개)</t>
    <phoneticPr fontId="21" type="noConversion"/>
  </si>
  <si>
    <t>원칙 (4개)</t>
    <phoneticPr fontId="21" type="noConversion"/>
  </si>
  <si>
    <t>1. 인식의 용이성</t>
    <phoneticPr fontId="2" type="noConversion"/>
  </si>
  <si>
    <t>브라우저에 “http://도메인주소/robots.txt”로 접속하여 “robots.txt”가 접근 가능한지 확인</t>
    <phoneticPr fontId="2" type="noConversion"/>
  </si>
  <si>
    <t>웹사이트 호환성(모바일)</t>
    <phoneticPr fontId="21" type="noConversion"/>
  </si>
  <si>
    <t>웹사이트 품질진단 결과서</t>
    <phoneticPr fontId="2" type="noConversion"/>
  </si>
  <si>
    <t>진단결과</t>
    <phoneticPr fontId="21" type="noConversion"/>
  </si>
  <si>
    <t>점검완료
(상세페이지 참조)</t>
    <phoneticPr fontId="21" type="noConversion"/>
  </si>
  <si>
    <t>점검 진행중</t>
    <phoneticPr fontId="21" type="noConversion"/>
  </si>
  <si>
    <t>점검예정</t>
    <phoneticPr fontId="21" type="noConversion"/>
  </si>
  <si>
    <t>PASS</t>
    <phoneticPr fontId="2" type="noConversion"/>
  </si>
  <si>
    <t>FAIL</t>
    <phoneticPr fontId="2" type="noConversion"/>
  </si>
  <si>
    <t>준수율</t>
    <phoneticPr fontId="2" type="noConversion"/>
  </si>
  <si>
    <t>웹페이지의 문법은 기술표준((X)HTML)을 준수하고 있는가?</t>
  </si>
  <si>
    <t xml:space="preserve">최신 웹표준(HTML5)을 적용하고 있는가? </t>
  </si>
  <si>
    <t>웹페이지의 시각적 속성(크기, 색채, 배치, 정렬 및 여백 등)은 기술표준(CSS)을 준수하고 있는가?</t>
  </si>
  <si>
    <t>웹페이지를 동적으로 구성하고 제어하는 기능은 모든 브라우저에서 동등하게 동작하는가?</t>
  </si>
  <si>
    <t>웹페이지가 다양한 브라우저에서 동등하게 표현되는가?※ 웹브라우저별 고유 특성에 의한 차이(폰트, 픽셀 등)는 예외</t>
  </si>
  <si>
    <r>
      <t xml:space="preserve">1.1 
(X)HTML </t>
    </r>
    <r>
      <rPr>
        <sz val="10"/>
        <color indexed="8"/>
        <rFont val="맑은 고딕"/>
        <family val="3"/>
        <charset val="129"/>
        <scheme val="major"/>
      </rPr>
      <t xml:space="preserve">표준 준수 </t>
    </r>
    <phoneticPr fontId="2" type="noConversion"/>
  </si>
  <si>
    <r>
      <t xml:space="preserve">1.2 
CSS </t>
    </r>
    <r>
      <rPr>
        <sz val="10"/>
        <color indexed="8"/>
        <rFont val="맑은 고딕"/>
        <family val="3"/>
        <charset val="129"/>
        <scheme val="major"/>
      </rPr>
      <t>표준 준수</t>
    </r>
    <phoneticPr fontId="2" type="noConversion"/>
  </si>
  <si>
    <r>
      <t xml:space="preserve">1.3 
</t>
    </r>
    <r>
      <rPr>
        <sz val="10"/>
        <color indexed="8"/>
        <rFont val="맑은 고딕"/>
        <family val="3"/>
        <charset val="129"/>
        <scheme val="major"/>
      </rPr>
      <t>문자(한글) 부호화 준수</t>
    </r>
    <phoneticPr fontId="2" type="noConversion"/>
  </si>
  <si>
    <r>
      <t xml:space="preserve">1.4 
</t>
    </r>
    <r>
      <rPr>
        <sz val="10"/>
        <color indexed="8"/>
        <rFont val="맑은 고딕"/>
        <family val="3"/>
        <charset val="129"/>
        <scheme val="major"/>
      </rPr>
      <t>제어 기능의 표준 준수</t>
    </r>
    <phoneticPr fontId="2" type="noConversion"/>
  </si>
  <si>
    <r>
      <t xml:space="preserve">1.5. 
</t>
    </r>
    <r>
      <rPr>
        <sz val="10"/>
        <color indexed="8"/>
        <rFont val="맑은 고딕"/>
        <family val="3"/>
        <charset val="129"/>
        <scheme val="major"/>
      </rPr>
      <t>비표준 기술 제거</t>
    </r>
    <phoneticPr fontId="2" type="noConversion"/>
  </si>
  <si>
    <r>
      <t xml:space="preserve">2.1 
</t>
    </r>
    <r>
      <rPr>
        <sz val="10"/>
        <color indexed="8"/>
        <rFont val="맑은 고딕"/>
        <family val="3"/>
        <charset val="129"/>
        <scheme val="major"/>
      </rPr>
      <t>기능 호환성 확보</t>
    </r>
    <phoneticPr fontId="2" type="noConversion"/>
  </si>
  <si>
    <r>
      <t xml:space="preserve">2.2 
</t>
    </r>
    <r>
      <rPr>
        <sz val="10"/>
        <color indexed="8"/>
        <rFont val="맑은 고딕"/>
        <family val="3"/>
        <charset val="129"/>
        <scheme val="major"/>
      </rPr>
      <t>화면표시 호환성 확보</t>
    </r>
    <phoneticPr fontId="2" type="noConversion"/>
  </si>
  <si>
    <t>브라우저 부가기능을 이용하여 해당 페이지에서 사용된 JavaScript 오류나 DOM 경고 발생하고 있는가?
※ Javascript가 의도한 기능의 정상 동작여부 확인</t>
    <phoneticPr fontId="2" type="noConversion"/>
  </si>
  <si>
    <t>N/A</t>
  </si>
  <si>
    <t>P</t>
  </si>
  <si>
    <t xml:space="preserve">                                                                                                 화면명
         웹표준 준수 항목</t>
    <phoneticPr fontId="2" type="noConversion"/>
  </si>
  <si>
    <t>메뉴</t>
    <phoneticPr fontId="21" type="noConversion"/>
  </si>
  <si>
    <t>자동</t>
    <phoneticPr fontId="2" type="noConversion"/>
  </si>
  <si>
    <t>수동</t>
    <phoneticPr fontId="2" type="noConversion"/>
  </si>
  <si>
    <t>검사
유형</t>
    <phoneticPr fontId="21" type="noConversion"/>
  </si>
  <si>
    <t>노봉훈</t>
    <phoneticPr fontId="2" type="noConversion"/>
  </si>
  <si>
    <t>문서번호 : MDSP2-PP-D0203-02</t>
    <phoneticPr fontId="2" type="noConversion"/>
  </si>
  <si>
    <t>마이데이터 지원 플랫폼 구축(2차)</t>
    <phoneticPr fontId="2" type="noConversion"/>
  </si>
  <si>
    <t>웹페이지의 문법은 기술표준((X)HTML)을 준수하고 있는가?</t>
    <phoneticPr fontId="2" type="noConversion"/>
  </si>
  <si>
    <t>웹페이지가 다양한 브라우저에서 동등하게 표현되는가?※ 웹브라우저별 고유 특성에 의한 차이(폰트, 픽셀 등)는 예외</t>
    <phoneticPr fontId="2" type="noConversion"/>
  </si>
  <si>
    <t>박태열</t>
    <phoneticPr fontId="2" type="noConversion"/>
  </si>
  <si>
    <t>홈</t>
    <phoneticPr fontId="2" type="noConversion"/>
  </si>
  <si>
    <t>웹 페이지에서 문자를 부호화하는 방식을 UTF-8로 적용하고 있는가?</t>
    <phoneticPr fontId="2" type="noConversion"/>
  </si>
  <si>
    <t>웹 페이지의 동적으로 구성하고 제어하는 기술표준(DOM, ECMA-262 등)을 적용하고 있는가?</t>
    <phoneticPr fontId="2" type="noConversion"/>
  </si>
  <si>
    <t>“robots.txt”에서 특정 검색엔진의 크롤러에 대한 user-agent를 차단하고 있는지 확인</t>
    <phoneticPr fontId="2" type="noConversion"/>
  </si>
  <si>
    <r>
      <t>웹사이트 메인 페이지의 용량은 적절한 크기</t>
    </r>
    <r>
      <rPr>
        <sz val="10"/>
        <color indexed="8"/>
        <rFont val="맑은 고딕"/>
        <family val="3"/>
        <charset val="129"/>
        <scheme val="major"/>
      </rPr>
      <t>(3MB)로 제공되고 있는가?</t>
    </r>
    <phoneticPr fontId="21" type="noConversion"/>
  </si>
  <si>
    <r>
      <t xml:space="preserve">1.1 
(X)HTML </t>
    </r>
    <r>
      <rPr>
        <sz val="10"/>
        <color indexed="8"/>
        <rFont val="맑은 고딕"/>
        <family val="3"/>
        <charset val="129"/>
        <scheme val="major"/>
      </rPr>
      <t xml:space="preserve">표준 준수 </t>
    </r>
    <phoneticPr fontId="2" type="noConversion"/>
  </si>
  <si>
    <t>웹페이지를 동적으로 구성하고 제어하는 기능은 모든 브라우저에서 동등하게 동작하는가?</t>
    <phoneticPr fontId="2" type="noConversion"/>
  </si>
  <si>
    <t>주요메뉴가이드</t>
    <phoneticPr fontId="2" type="noConversion"/>
  </si>
  <si>
    <t>나의전송내역&gt;전체</t>
    <phoneticPr fontId="2" type="noConversion"/>
  </si>
  <si>
    <t>나의전송내역&gt;내정보요청</t>
    <phoneticPr fontId="2" type="noConversion"/>
  </si>
  <si>
    <t>나의전송내역&gt;서비스내역</t>
    <phoneticPr fontId="2" type="noConversion"/>
  </si>
  <si>
    <t>나의전송내역&gt;철회요청</t>
    <phoneticPr fontId="2" type="noConversion"/>
  </si>
  <si>
    <t>관심정보안내서비스</t>
    <phoneticPr fontId="2" type="noConversion"/>
  </si>
  <si>
    <t>개인정보저장소</t>
    <phoneticPr fontId="2" type="noConversion"/>
  </si>
  <si>
    <t>온마이데이터 포털</t>
    <phoneticPr fontId="2" type="noConversion"/>
  </si>
  <si>
    <r>
      <t xml:space="preserve">1.3 
</t>
    </r>
    <r>
      <rPr>
        <sz val="10"/>
        <color indexed="8"/>
        <rFont val="맑은 고딕"/>
        <family val="3"/>
        <charset val="129"/>
        <scheme val="major"/>
      </rPr>
      <t>문자(한글) 부호화 준수</t>
    </r>
    <phoneticPr fontId="2" type="noConversion"/>
  </si>
  <si>
    <t>웹 페이지에서 문자를 부호화하는 방식을 UTF-8로 적용하고 있는가?</t>
    <phoneticPr fontId="2" type="noConversion"/>
  </si>
  <si>
    <t>웹 페이지의 동적으로 구성하고 제어하는 기술표준(DOM, ECMA-262 등)을 적용하고 있는가?</t>
    <phoneticPr fontId="2" type="noConversion"/>
  </si>
  <si>
    <t>공공 웹사이트 플러그인 제거 가이드라인(행정안전부 배포)을 준수하고 있는가?
※ 표준 기술 사용을 위한 비표준 기술 제거 점검
- 웹 표준이 아닌 방식으로 멀티미디어(플래시, 실버라이트, 자바 애플릿, 미디어플레이어 등)를 사용하는 경우
- 개인정보보호, 정보보안을 위해 액티브X, 실행파일(EXE파일) 등을 사용하는 경우</t>
    <phoneticPr fontId="2" type="noConversion"/>
  </si>
  <si>
    <t>웹사이트 호환성</t>
    <phoneticPr fontId="2" type="noConversion"/>
  </si>
  <si>
    <t>나의전송내역&gt;내정보요청내역</t>
    <phoneticPr fontId="2" type="noConversion"/>
  </si>
  <si>
    <t>나의전송내역&gt;서비스내역</t>
    <phoneticPr fontId="2" type="noConversion"/>
  </si>
  <si>
    <t>내정보요청</t>
    <phoneticPr fontId="2" type="noConversion"/>
  </si>
  <si>
    <t>개인정보저장소</t>
    <phoneticPr fontId="2" type="noConversion"/>
  </si>
  <si>
    <t>마이데이터서비스</t>
    <phoneticPr fontId="2" type="noConversion"/>
  </si>
  <si>
    <t>관심정보안내서비스</t>
    <phoneticPr fontId="2" type="noConversion"/>
  </si>
  <si>
    <t>공지사항</t>
    <phoneticPr fontId="2" type="noConversion"/>
  </si>
  <si>
    <t>자주묻는질문</t>
    <phoneticPr fontId="2" type="noConversion"/>
  </si>
  <si>
    <t>1:1문의하기</t>
    <phoneticPr fontId="2" type="noConversion"/>
  </si>
  <si>
    <t>자료실</t>
    <phoneticPr fontId="2" type="noConversion"/>
  </si>
  <si>
    <t>홍보자료실</t>
    <phoneticPr fontId="2" type="noConversion"/>
  </si>
  <si>
    <t>마이페이지</t>
    <phoneticPr fontId="2" type="noConversion"/>
  </si>
  <si>
    <t>회원가입</t>
    <phoneticPr fontId="2" type="noConversion"/>
  </si>
  <si>
    <t>메인</t>
    <phoneticPr fontId="2" type="noConversion"/>
  </si>
  <si>
    <t>마이데이터안내</t>
    <phoneticPr fontId="2" type="noConversion"/>
  </si>
  <si>
    <t>전송안내</t>
    <phoneticPr fontId="2" type="noConversion"/>
  </si>
  <si>
    <t>내정보요청 상세</t>
    <phoneticPr fontId="2" type="noConversion"/>
  </si>
  <si>
    <t>서비스내역 상세</t>
    <phoneticPr fontId="2" type="noConversion"/>
  </si>
  <si>
    <t>전송기관선택</t>
    <phoneticPr fontId="2" type="noConversion"/>
  </si>
  <si>
    <t>보관기간설정</t>
    <phoneticPr fontId="2" type="noConversion"/>
  </si>
  <si>
    <t>개인저장소상세</t>
    <phoneticPr fontId="2" type="noConversion"/>
  </si>
  <si>
    <t>나의전송내역&gt;철회현황</t>
    <phoneticPr fontId="2" type="noConversion"/>
  </si>
  <si>
    <r>
      <rPr>
        <b/>
        <sz val="10"/>
        <rFont val="맑은 고딕"/>
        <family val="3"/>
        <charset val="129"/>
        <scheme val="major"/>
      </rPr>
      <t>텍스트 콘텐츠의 명도 대비</t>
    </r>
    <r>
      <rPr>
        <sz val="10"/>
        <rFont val="맑은 고딕"/>
        <family val="3"/>
        <charset val="129"/>
        <scheme val="major"/>
      </rPr>
      <t xml:space="preserve">
텍스트 콘텐츠와 배경 간의 명도 대비는 4.5 대 1 이상이어야 한다.</t>
    </r>
    <phoneticPr fontId="2" type="noConversion"/>
  </si>
  <si>
    <r>
      <rPr>
        <b/>
        <sz val="10"/>
        <rFont val="맑은 고딕"/>
        <family val="3"/>
        <charset val="129"/>
        <scheme val="major"/>
      </rPr>
      <t xml:space="preserve">키보드 사용 보장
</t>
    </r>
    <r>
      <rPr>
        <sz val="10"/>
        <rFont val="맑은 고딕"/>
        <family val="3"/>
        <charset val="129"/>
        <scheme val="major"/>
      </rPr>
      <t>모든 기능은 키보드만으로도 사용할 수 있어야 한다.</t>
    </r>
    <phoneticPr fontId="2" type="noConversion"/>
  </si>
  <si>
    <r>
      <rPr>
        <b/>
        <sz val="10"/>
        <rFont val="맑은 고딕"/>
        <family val="3"/>
        <charset val="129"/>
        <scheme val="major"/>
      </rPr>
      <t>초점 이동</t>
    </r>
    <r>
      <rPr>
        <sz val="10"/>
        <rFont val="맑은 고딕"/>
        <family val="3"/>
        <charset val="129"/>
        <scheme val="major"/>
      </rPr>
      <t xml:space="preserve">
키보드에 의한 초점은 논리적으로 이동해야 하며 시각적으로 구별할 수 있어야 한다.</t>
    </r>
    <phoneticPr fontId="2" type="noConversion"/>
  </si>
  <si>
    <t>전송안내</t>
    <phoneticPr fontId="2" type="noConversion"/>
  </si>
  <si>
    <t>온마이데이터(정부24+인앱)</t>
    <phoneticPr fontId="2" type="noConversion"/>
  </si>
  <si>
    <t>온마이데이터</t>
    <phoneticPr fontId="2" type="noConversion"/>
  </si>
  <si>
    <t>1. 대체 텍스트</t>
    <phoneticPr fontId="2" type="noConversion"/>
  </si>
  <si>
    <t>고급 검색</t>
    <phoneticPr fontId="2" type="noConversion"/>
  </si>
  <si>
    <t>3. 검색</t>
    <phoneticPr fontId="2" type="noConversion"/>
  </si>
  <si>
    <t>진단 사이트 (https://www.webpagetest.org)
결과화면에서 로딩 속도 ‘Start Render' 항목을 점검</t>
    <phoneticPr fontId="2" type="noConversion"/>
  </si>
  <si>
    <r>
      <t>웹사이트 메인 페이지는 적절한 속도</t>
    </r>
    <r>
      <rPr>
        <sz val="10"/>
        <color indexed="8"/>
        <rFont val="맑은 고딕"/>
        <family val="3"/>
        <charset val="129"/>
        <scheme val="major"/>
      </rPr>
      <t>(3초 이내)로 로딩되는가?</t>
    </r>
    <phoneticPr fontId="21" type="noConversion"/>
  </si>
  <si>
    <t>진단 사이트 (https://www.webpagetest.org)
결과화면에서 첫 페이지 용량 ‘Fully Loaded &gt; Byte In’ 항목을 점검</t>
    <phoneticPr fontId="2" type="noConversion"/>
  </si>
  <si>
    <t>X</t>
  </si>
  <si>
    <t>O</t>
  </si>
  <si>
    <t>수동진단</t>
  </si>
  <si>
    <t>-</t>
  </si>
  <si>
    <t>해당없음</t>
  </si>
  <si>
    <t>footer</t>
  </si>
  <si>
    <t>소통알림 &gt; 자주묻는질문</t>
  </si>
  <si>
    <t>소통알림 &gt; 1:1문의</t>
  </si>
  <si>
    <t>O</t>
    <phoneticPr fontId="2" type="noConversion"/>
  </si>
  <si>
    <t>O</t>
    <phoneticPr fontId="21" type="noConversion"/>
  </si>
  <si>
    <t>P</t>
    <phoneticPr fontId="21" type="noConversion"/>
  </si>
  <si>
    <r>
      <t>트래픽과 보안 관련 정책에 따른 적절한 로봇배제 표준의 적용으로 콘텐츠에 대한 접근권을 향상하고 있는가</t>
    </r>
    <r>
      <rPr>
        <sz val="10"/>
        <color indexed="8"/>
        <rFont val="맑은 고딕"/>
        <family val="3"/>
        <charset val="129"/>
        <scheme val="major"/>
      </rPr>
      <t>?</t>
    </r>
    <phoneticPr fontId="21" type="noConversion"/>
  </si>
  <si>
    <r>
      <t>콘텐츠 노출 범위의 기준 마련 및 웹사이트 소스코드 메타태그 기능의 적절 사용으로 불필요한 검색제한을 방지하고 있는가</t>
    </r>
    <r>
      <rPr>
        <sz val="10"/>
        <color indexed="8"/>
        <rFont val="맑은 고딕"/>
        <family val="3"/>
        <charset val="129"/>
        <scheme val="major"/>
      </rPr>
      <t>?</t>
    </r>
    <phoneticPr fontId="21" type="noConversion"/>
  </si>
  <si>
    <r>
      <t>링크된 게시물</t>
    </r>
    <r>
      <rPr>
        <sz val="10"/>
        <color indexed="8"/>
        <rFont val="맑은 고딕"/>
        <family val="3"/>
        <charset val="129"/>
        <scheme val="major"/>
      </rPr>
      <t>, 검색결과의 URL을 이용한 웹사이트 접근 또는 페이지 변경 시 해당 콘텐츠에 대한 검색이 가능한가?</t>
    </r>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</si>
</sst>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32" x14ac:knownFonts="1">
    <font>
      <sz val="11"/>
      <name val="돋움"/>
      <family val="3"/>
      <charset val="129"/>
    </font>
    <font>
      <sz val="11"/>
      <color indexed="8"/>
      <name val="맑은 고딕"/>
      <family val="3"/>
      <charset val="129"/>
    </font>
    <font>
      <sz val="8"/>
      <name val="돋움"/>
      <family val="3"/>
      <charset val="129"/>
    </font>
    <font>
      <sz val="10"/>
      <name val="돋움"/>
      <family val="3"/>
      <charset val="129"/>
    </font>
    <font>
      <b/>
      <sz val="10"/>
      <name val="돋움"/>
      <family val="3"/>
      <charset val="129"/>
    </font>
    <font>
      <sz val="11"/>
      <color indexed="8"/>
      <name val="맑은 고딕"/>
      <family val="3"/>
      <charset val="129"/>
    </font>
    <font>
      <b/>
      <sz val="9"/>
      <color indexed="81"/>
      <name val="돋움"/>
      <family val="3"/>
      <charset val="129"/>
    </font>
    <font>
      <sz val="10"/>
      <color indexed="10"/>
      <name val="돋움"/>
      <family val="3"/>
      <charset val="129"/>
    </font>
    <font>
      <sz val="10"/>
      <color indexed="8"/>
      <name val="돋움"/>
      <family val="3"/>
      <charset val="129"/>
    </font>
    <font>
      <sz val="10"/>
      <name val="맑은 고딕"/>
      <family val="3"/>
      <charset val="129"/>
    </font>
    <font>
      <u/>
      <sz val="11"/>
      <color theme="10"/>
      <name val="돋움"/>
      <family val="3"/>
      <charset val="129"/>
    </font>
    <font>
      <sz val="10"/>
      <name val="맑은 고딕"/>
      <family val="3"/>
      <charset val="129"/>
      <scheme val="minor"/>
    </font>
    <font>
      <sz val="12"/>
      <name val="HY헤드라인M"/>
      <family val="1"/>
      <charset val="129"/>
    </font>
    <font>
      <sz val="11"/>
      <name val="HY헤드라인M"/>
      <family val="1"/>
      <charset val="129"/>
    </font>
    <font>
      <sz val="20"/>
      <name val="HY헤드라인M"/>
      <family val="1"/>
      <charset val="129"/>
    </font>
    <font>
      <sz val="35"/>
      <name val="HY헤드라인M"/>
      <family val="1"/>
      <charset val="129"/>
    </font>
    <font>
      <sz val="24"/>
      <name val="HY헤드라인M"/>
      <family val="1"/>
      <charset val="129"/>
    </font>
    <font>
      <b/>
      <sz val="11"/>
      <name val="맑은 고딕"/>
      <family val="3"/>
      <charset val="129"/>
      <scheme val="minor"/>
    </font>
    <font>
      <b/>
      <vertAlign val="superscript"/>
      <sz val="11"/>
      <name val="맑은 고딕"/>
      <family val="3"/>
      <charset val="129"/>
      <scheme val="minor"/>
    </font>
    <font>
      <sz val="9"/>
      <name val="맑은 고딕"/>
      <family val="3"/>
      <charset val="129"/>
      <scheme val="minor"/>
    </font>
    <font>
      <b/>
      <sz val="20"/>
      <name val="HY헤드라인M"/>
      <family val="1"/>
      <charset val="129"/>
    </font>
    <font>
      <sz val="8"/>
      <name val="맑은 고딕"/>
      <family val="3"/>
      <charset val="129"/>
    </font>
    <font>
      <b/>
      <sz val="10"/>
      <color rgb="FF000000"/>
      <name val="맑은 고딕"/>
      <family val="3"/>
      <charset val="129"/>
      <scheme val="minor"/>
    </font>
    <font>
      <sz val="10"/>
      <name val="맑은 고딕"/>
      <family val="3"/>
      <charset val="129"/>
      <scheme val="major"/>
    </font>
    <font>
      <b/>
      <sz val="10"/>
      <name val="맑은 고딕"/>
      <family val="3"/>
      <charset val="129"/>
      <scheme val="major"/>
    </font>
    <font>
      <sz val="10"/>
      <color rgb="FF000000"/>
      <name val="맑은 고딕"/>
      <family val="3"/>
      <charset val="129"/>
      <scheme val="major"/>
    </font>
    <font>
      <sz val="10"/>
      <color indexed="8"/>
      <name val="맑은 고딕"/>
      <family val="3"/>
      <charset val="129"/>
      <scheme val="major"/>
    </font>
    <font>
      <b/>
      <sz val="10"/>
      <color indexed="8"/>
      <name val="맑은 고딕"/>
      <family val="3"/>
      <charset val="129"/>
      <scheme val="major"/>
    </font>
    <font>
      <u/>
      <sz val="10"/>
      <color theme="10"/>
      <name val="맑은 고딕"/>
      <family val="3"/>
      <charset val="129"/>
      <scheme val="minor"/>
    </font>
    <font>
      <i/>
      <sz val="10"/>
      <color theme="1" tint="0.499984740745262"/>
      <name val="맑은 고딕"/>
      <family val="3"/>
      <charset val="129"/>
      <scheme val="minor"/>
    </font>
    <font>
      <sz val="20"/>
      <name val="맑은 고딕"/>
      <family val="3"/>
      <charset val="129"/>
      <scheme val="major"/>
    </font>
    <font>
      <b/>
      <sz val="10"/>
      <color rgb="FF000000"/>
      <name val="맑은 고딕"/>
      <family val="3"/>
      <charset val="129"/>
      <scheme val="major"/>
    </font>
  </fonts>
  <fills count="10">
    <fill>
      <patternFill patternType="none"/>
    </fill>
    <fill>
      <patternFill patternType="gray125"/>
    </fill>
    <fill>
      <patternFill patternType="solid">
        <fgColor indexed="13"/>
        <bgColor indexed="64"/>
      </patternFill>
    </fill>
    <fill>
      <patternFill patternType="solid">
        <fgColor indexed="26"/>
        <bgColor indexed="64"/>
      </patternFill>
    </fill>
    <fill>
      <patternFill patternType="solid">
        <fgColor rgb="FFFFFFCC"/>
        <bgColor indexed="64"/>
      </patternFill>
    </fill>
    <fill>
      <patternFill patternType="solid">
        <fgColor theme="0" tint="-0.14999847407452621"/>
        <bgColor indexed="64"/>
      </patternFill>
    </fill>
    <fill>
      <patternFill patternType="solid">
        <fgColor rgb="FFDFE6F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59999389629810485"/>
        <bgColor indexed="64"/>
      </patternFill>
    </fill>
  </fills>
  <borders count="67">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top style="double">
        <color indexed="64"/>
      </top>
      <bottom style="double">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rgb="FF000000"/>
      </bottom>
      <diagonal/>
    </border>
    <border>
      <left/>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top/>
      <bottom/>
      <diagonal/>
    </border>
    <border diagonalDown="1">
      <left style="thin">
        <color indexed="64"/>
      </left>
      <right style="thin">
        <color indexed="64"/>
      </right>
      <top style="thin">
        <color indexed="64"/>
      </top>
      <bottom style="thin">
        <color indexed="64"/>
      </bottom>
      <diagonal style="thin">
        <color rgb="FF000000"/>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thin">
        <color indexed="64"/>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hair">
        <color indexed="64"/>
      </top>
      <bottom style="medium">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hair">
        <color indexed="64"/>
      </top>
      <bottom style="medium">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medium">
        <color indexed="64"/>
      </right>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000000"/>
      </left>
      <right/>
      <top style="thin">
        <color indexed="64"/>
      </top>
      <bottom style="thin">
        <color indexed="64"/>
      </bottom>
      <diagonal/>
    </border>
  </borders>
  <cellStyleXfs count="6">
    <xf numFmtId="0" fontId="0"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pplyNumberFormat="0" applyFill="0" applyBorder="0" applyAlignment="0" applyProtection="0">
      <alignment vertical="top"/>
      <protection locked="0"/>
    </xf>
  </cellStyleXfs>
  <cellXfs count="275">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4" fillId="2" borderId="4"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5" xfId="0" quotePrefix="1" applyFont="1" applyBorder="1" applyAlignment="1">
      <alignment vertical="center" wrapText="1"/>
    </xf>
    <xf numFmtId="0" fontId="3" fillId="0" borderId="1" xfId="0" quotePrefix="1" applyFont="1" applyBorder="1" applyAlignment="1">
      <alignment vertical="center" wrapText="1"/>
    </xf>
    <xf numFmtId="0" fontId="3" fillId="0" borderId="2" xfId="0" quotePrefix="1" applyFont="1" applyBorder="1" applyAlignment="1">
      <alignment vertical="center" wrapText="1"/>
    </xf>
    <xf numFmtId="0" fontId="3" fillId="0" borderId="2" xfId="0" quotePrefix="1" applyFont="1" applyBorder="1" applyAlignment="1">
      <alignment horizontal="left" vertical="center" wrapText="1"/>
    </xf>
    <xf numFmtId="0" fontId="3" fillId="0" borderId="5" xfId="0" quotePrefix="1" applyFont="1" applyBorder="1" applyAlignment="1">
      <alignment horizontal="left" vertical="center" wrapText="1"/>
    </xf>
    <xf numFmtId="0" fontId="3" fillId="0" borderId="1" xfId="0" quotePrefix="1" applyFont="1" applyBorder="1" applyAlignment="1">
      <alignment horizontal="left" vertical="center"/>
    </xf>
    <xf numFmtId="0" fontId="3" fillId="0" borderId="1" xfId="0" quotePrefix="1" applyFont="1" applyBorder="1" applyAlignment="1">
      <alignment horizontal="left" vertical="center" wrapText="1"/>
    </xf>
    <xf numFmtId="0" fontId="3" fillId="0" borderId="2" xfId="0" quotePrefix="1" applyFont="1" applyBorder="1" applyAlignment="1">
      <alignment horizontal="left" vertical="center"/>
    </xf>
    <xf numFmtId="0" fontId="3" fillId="0" borderId="2" xfId="0" applyFont="1" applyBorder="1" applyAlignment="1">
      <alignment horizontal="left" vertical="center" wrapText="1"/>
    </xf>
    <xf numFmtId="0" fontId="3" fillId="0" borderId="3" xfId="0" quotePrefix="1" applyFont="1" applyBorder="1" applyAlignment="1">
      <alignment vertical="center" wrapText="1"/>
    </xf>
    <xf numFmtId="0" fontId="3" fillId="0" borderId="3" xfId="0" quotePrefix="1" applyFont="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3" fillId="3" borderId="5" xfId="0" applyFont="1" applyFill="1" applyBorder="1" applyAlignment="1">
      <alignment vertical="center" wrapText="1"/>
    </xf>
    <xf numFmtId="0" fontId="3" fillId="3" borderId="1" xfId="0" applyFont="1" applyFill="1" applyBorder="1" applyAlignment="1">
      <alignment vertical="center" wrapText="1"/>
    </xf>
    <xf numFmtId="0" fontId="3" fillId="3" borderId="2" xfId="0" applyFont="1" applyFill="1" applyBorder="1" applyAlignment="1">
      <alignment vertical="center" wrapText="1"/>
    </xf>
    <xf numFmtId="0" fontId="7" fillId="0" borderId="5" xfId="0" applyFont="1" applyBorder="1" applyAlignment="1">
      <alignment horizontal="left" vertical="center" wrapText="1"/>
    </xf>
    <xf numFmtId="0" fontId="3" fillId="0" borderId="2" xfId="0" applyFont="1" applyBorder="1" applyAlignment="1">
      <alignment horizontal="left" vertical="center"/>
    </xf>
    <xf numFmtId="0" fontId="3" fillId="0" borderId="5"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8" fillId="0" borderId="3" xfId="0" applyFont="1" applyBorder="1" applyAlignment="1">
      <alignment horizontal="justify" vertical="center"/>
    </xf>
    <xf numFmtId="0" fontId="3" fillId="0" borderId="5" xfId="0" applyFont="1" applyBorder="1" applyAlignment="1">
      <alignment horizontal="left" vertical="center"/>
    </xf>
    <xf numFmtId="0" fontId="3" fillId="0" borderId="0" xfId="0" quotePrefix="1" applyFont="1" applyAlignment="1">
      <alignment horizontal="left" vertical="center" wrapText="1"/>
    </xf>
    <xf numFmtId="0" fontId="3" fillId="0" borderId="6" xfId="0" quotePrefix="1" applyFont="1" applyBorder="1" applyAlignment="1">
      <alignment vertical="center" wrapText="1"/>
    </xf>
    <xf numFmtId="0" fontId="3" fillId="0" borderId="4" xfId="0" applyFont="1" applyBorder="1" applyAlignment="1">
      <alignment vertical="center" wrapText="1"/>
    </xf>
    <xf numFmtId="9" fontId="3" fillId="0" borderId="3" xfId="0" applyNumberFormat="1" applyFont="1" applyBorder="1" applyAlignment="1">
      <alignment horizontal="center" vertical="center"/>
    </xf>
    <xf numFmtId="9" fontId="3" fillId="0" borderId="1" xfId="0" applyNumberFormat="1" applyFont="1" applyBorder="1" applyAlignment="1">
      <alignment horizontal="center" vertical="center"/>
    </xf>
    <xf numFmtId="9" fontId="3" fillId="0" borderId="2" xfId="0" applyNumberFormat="1" applyFont="1" applyBorder="1" applyAlignment="1">
      <alignment horizontal="center" vertical="center"/>
    </xf>
    <xf numFmtId="0" fontId="3" fillId="0" borderId="4" xfId="0" applyFont="1" applyBorder="1" applyAlignment="1">
      <alignment horizontal="center" vertical="center" wrapText="1"/>
    </xf>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10" fillId="0" borderId="0" xfId="5" applyAlignment="1" applyProtection="1">
      <alignment vertical="center"/>
    </xf>
    <xf numFmtId="9" fontId="3" fillId="0" borderId="1" xfId="0" quotePrefix="1" applyNumberFormat="1" applyFont="1" applyBorder="1" applyAlignment="1">
      <alignment horizontal="center" vertical="center" wrapText="1"/>
    </xf>
    <xf numFmtId="9" fontId="3" fillId="0" borderId="5" xfId="0" quotePrefix="1" applyNumberFormat="1" applyFont="1" applyBorder="1" applyAlignment="1">
      <alignment horizontal="center" vertical="center" wrapText="1"/>
    </xf>
    <xf numFmtId="9" fontId="3" fillId="0" borderId="3" xfId="0" quotePrefix="1" applyNumberFormat="1" applyFont="1" applyBorder="1" applyAlignment="1">
      <alignment horizontal="center" vertical="center" wrapText="1"/>
    </xf>
    <xf numFmtId="9" fontId="3" fillId="0" borderId="2" xfId="0" quotePrefix="1" applyNumberFormat="1" applyFont="1" applyBorder="1" applyAlignment="1">
      <alignment horizontal="center" vertical="center" wrapText="1"/>
    </xf>
    <xf numFmtId="9" fontId="3" fillId="0" borderId="3" xfId="0" applyNumberFormat="1" applyFont="1" applyBorder="1" applyAlignment="1">
      <alignment horizontal="center" vertical="center" wrapText="1"/>
    </xf>
    <xf numFmtId="9" fontId="3" fillId="0" borderId="5" xfId="0" applyNumberFormat="1" applyFont="1" applyBorder="1" applyAlignment="1">
      <alignment horizontal="center" vertical="center"/>
    </xf>
    <xf numFmtId="0" fontId="0" fillId="0" borderId="0" xfId="0" applyAlignment="1">
      <alignment horizontal="center" vertical="center"/>
    </xf>
    <xf numFmtId="0" fontId="13" fillId="0" borderId="0" xfId="0" applyFont="1">
      <alignment vertical="center"/>
    </xf>
    <xf numFmtId="0" fontId="11" fillId="0" borderId="0" xfId="0" applyFont="1">
      <alignment vertical="center"/>
    </xf>
    <xf numFmtId="0" fontId="17" fillId="5" borderId="4" xfId="0" applyFont="1" applyFill="1" applyBorder="1" applyAlignment="1">
      <alignment horizontal="center" vertical="center" wrapText="1"/>
    </xf>
    <xf numFmtId="0" fontId="17" fillId="5" borderId="4" xfId="0" applyFont="1" applyFill="1" applyBorder="1" applyAlignment="1">
      <alignment horizontal="center" vertical="center"/>
    </xf>
    <xf numFmtId="49" fontId="11" fillId="0" borderId="4" xfId="0" applyNumberFormat="1" applyFont="1" applyBorder="1" applyAlignment="1">
      <alignment horizontal="center" vertical="center" wrapText="1"/>
    </xf>
    <xf numFmtId="14" fontId="11" fillId="0" borderId="4"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horizontal="justify" vertical="center" wrapText="1"/>
    </xf>
    <xf numFmtId="176" fontId="11" fillId="0" borderId="4" xfId="0" applyNumberFormat="1" applyFont="1" applyBorder="1" applyAlignment="1">
      <alignment horizontal="center" vertical="center" wrapText="1"/>
    </xf>
    <xf numFmtId="176" fontId="11" fillId="0" borderId="4" xfId="0" applyNumberFormat="1" applyFont="1" applyBorder="1" applyAlignment="1">
      <alignment horizontal="justify" vertical="center"/>
    </xf>
    <xf numFmtId="14" fontId="11" fillId="0" borderId="4" xfId="0" applyNumberFormat="1" applyFont="1" applyBorder="1">
      <alignment vertical="center"/>
    </xf>
    <xf numFmtId="0" fontId="11" fillId="0" borderId="4" xfId="0" applyFont="1" applyBorder="1">
      <alignment vertical="center"/>
    </xf>
    <xf numFmtId="0" fontId="19" fillId="0" borderId="0" xfId="0" applyFont="1">
      <alignment vertical="center"/>
    </xf>
    <xf numFmtId="176" fontId="11" fillId="0" borderId="9" xfId="0" applyNumberFormat="1" applyFont="1" applyBorder="1" applyAlignment="1">
      <alignment horizontal="center" vertical="center" wrapText="1"/>
    </xf>
    <xf numFmtId="14" fontId="11" fillId="0" borderId="9"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11" fillId="0" borderId="9" xfId="0" applyFont="1" applyBorder="1" applyAlignment="1">
      <alignment horizontal="justify" vertical="center" wrapText="1"/>
    </xf>
    <xf numFmtId="49" fontId="11" fillId="0" borderId="17" xfId="0" applyNumberFormat="1" applyFont="1" applyBorder="1" applyAlignment="1">
      <alignment horizontal="center" vertical="center" wrapText="1"/>
    </xf>
    <xf numFmtId="14" fontId="11" fillId="0" borderId="17" xfId="0" applyNumberFormat="1" applyFont="1" applyBorder="1" applyAlignment="1">
      <alignment horizontal="center" vertical="center" wrapText="1"/>
    </xf>
    <xf numFmtId="0" fontId="11" fillId="0" borderId="17" xfId="0" applyFont="1" applyBorder="1" applyAlignment="1">
      <alignment horizontal="center" vertical="center" wrapText="1"/>
    </xf>
    <xf numFmtId="0" fontId="11" fillId="0" borderId="17" xfId="0" applyFont="1" applyBorder="1" applyAlignment="1">
      <alignment horizontal="justify" vertical="center" wrapText="1"/>
    </xf>
    <xf numFmtId="0" fontId="11" fillId="0" borderId="4" xfId="0" applyFont="1" applyBorder="1" applyAlignment="1">
      <alignment horizontal="center" vertical="center"/>
    </xf>
    <xf numFmtId="0" fontId="20" fillId="0" borderId="0" xfId="0" applyFont="1">
      <alignment vertical="center"/>
    </xf>
    <xf numFmtId="0" fontId="22" fillId="6" borderId="12" xfId="0" applyFont="1" applyFill="1" applyBorder="1" applyAlignment="1">
      <alignment horizontal="center" vertical="center" wrapText="1"/>
    </xf>
    <xf numFmtId="0" fontId="23" fillId="0" borderId="0" xfId="0" applyFont="1">
      <alignment vertical="center"/>
    </xf>
    <xf numFmtId="0" fontId="25" fillId="0" borderId="4" xfId="0" applyFont="1" applyBorder="1" applyAlignment="1">
      <alignment horizontal="justify" vertical="center" wrapText="1"/>
    </xf>
    <xf numFmtId="0" fontId="23" fillId="0" borderId="4" xfId="0" applyFont="1" applyBorder="1" applyAlignment="1">
      <alignment horizontal="center" vertical="center" wrapText="1"/>
    </xf>
    <xf numFmtId="0" fontId="23" fillId="0" borderId="4" xfId="0" applyFont="1" applyBorder="1" applyAlignment="1">
      <alignment horizontal="left" vertical="center" wrapText="1"/>
    </xf>
    <xf numFmtId="0" fontId="23" fillId="0" borderId="0" xfId="0" applyFont="1" applyAlignment="1">
      <alignment horizontal="left" vertical="center"/>
    </xf>
    <xf numFmtId="0" fontId="23" fillId="0" borderId="0" xfId="0" applyFont="1" applyAlignment="1">
      <alignment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0" fontId="25" fillId="0" borderId="11" xfId="0" applyFont="1" applyBorder="1" applyAlignment="1">
      <alignment horizontal="justify" vertical="center" wrapText="1"/>
    </xf>
    <xf numFmtId="0" fontId="25" fillId="0" borderId="11" xfId="0" applyFont="1" applyBorder="1" applyAlignment="1">
      <alignment horizontal="justify" vertical="top" wrapText="1"/>
    </xf>
    <xf numFmtId="0" fontId="23" fillId="0" borderId="0" xfId="0" applyFont="1" applyAlignment="1">
      <alignment horizontal="center" vertical="center"/>
    </xf>
    <xf numFmtId="0" fontId="23" fillId="4" borderId="7" xfId="0" applyFont="1" applyFill="1" applyBorder="1" applyAlignment="1">
      <alignment horizontal="left" vertical="center" wrapText="1"/>
    </xf>
    <xf numFmtId="0" fontId="23" fillId="0" borderId="5" xfId="0" applyFont="1" applyBorder="1" applyAlignment="1">
      <alignment vertical="center" wrapText="1"/>
    </xf>
    <xf numFmtId="0" fontId="23" fillId="4" borderId="1" xfId="0" applyFont="1" applyFill="1" applyBorder="1" applyAlignment="1">
      <alignment vertical="center" wrapText="1"/>
    </xf>
    <xf numFmtId="0" fontId="23" fillId="0" borderId="1" xfId="0" applyFont="1" applyBorder="1" applyAlignment="1">
      <alignment vertical="center" wrapText="1"/>
    </xf>
    <xf numFmtId="0" fontId="23" fillId="0" borderId="2" xfId="0" applyFont="1" applyBorder="1" applyAlignment="1">
      <alignment vertical="center" wrapText="1"/>
    </xf>
    <xf numFmtId="0" fontId="23" fillId="4" borderId="6"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14" fillId="0" borderId="0" xfId="0" applyFont="1" applyAlignment="1">
      <alignment horizontal="center" vertical="center"/>
    </xf>
    <xf numFmtId="0" fontId="22" fillId="6" borderId="11"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3" fillId="0" borderId="2" xfId="0" applyFont="1" applyBorder="1" applyAlignment="1">
      <alignment horizontal="left" vertical="center" wrapText="1"/>
    </xf>
    <xf numFmtId="0" fontId="25" fillId="0" borderId="5" xfId="0" applyFont="1" applyBorder="1" applyAlignment="1">
      <alignment horizontal="justify" vertical="center" wrapText="1"/>
    </xf>
    <xf numFmtId="0" fontId="23" fillId="0" borderId="11" xfId="0" applyFont="1" applyBorder="1" applyAlignment="1">
      <alignment horizontal="center" vertical="center" wrapText="1"/>
    </xf>
    <xf numFmtId="0" fontId="23" fillId="0" borderId="11" xfId="0" applyFont="1" applyBorder="1" applyAlignment="1">
      <alignment horizontal="left" vertical="center" wrapText="1"/>
    </xf>
    <xf numFmtId="0" fontId="23" fillId="0" borderId="11" xfId="0" applyFont="1" applyBorder="1" applyAlignment="1">
      <alignment horizontal="left" vertical="top" wrapText="1"/>
    </xf>
    <xf numFmtId="0" fontId="23" fillId="0" borderId="4" xfId="0" applyFont="1" applyBorder="1" applyAlignment="1">
      <alignment horizontal="center" vertical="center"/>
    </xf>
    <xf numFmtId="0" fontId="11" fillId="0" borderId="4" xfId="0" applyFont="1" applyBorder="1" applyAlignment="1">
      <alignment horizontal="left" vertical="center" wrapText="1"/>
    </xf>
    <xf numFmtId="0" fontId="28" fillId="0" borderId="4" xfId="5" applyFont="1" applyFill="1" applyBorder="1" applyAlignment="1" applyProtection="1">
      <alignment horizontal="center" vertical="center"/>
    </xf>
    <xf numFmtId="0" fontId="22" fillId="6" borderId="13" xfId="0" applyFont="1" applyFill="1" applyBorder="1" applyAlignment="1">
      <alignment horizontal="center" vertical="center" wrapText="1"/>
    </xf>
    <xf numFmtId="0" fontId="11" fillId="0" borderId="18" xfId="0" applyFont="1" applyBorder="1" applyAlignment="1">
      <alignment horizontal="center" vertical="center"/>
    </xf>
    <xf numFmtId="0" fontId="11" fillId="0" borderId="18" xfId="0" applyFont="1" applyBorder="1" applyAlignment="1">
      <alignment horizontal="center" vertical="center" wrapText="1"/>
    </xf>
    <xf numFmtId="0" fontId="29" fillId="0" borderId="4" xfId="0" applyFont="1" applyBorder="1" applyAlignment="1">
      <alignment horizontal="center" vertical="center" wrapText="1"/>
    </xf>
    <xf numFmtId="0" fontId="29" fillId="0" borderId="4" xfId="0" applyFont="1" applyBorder="1" applyAlignment="1">
      <alignment horizontal="center" vertical="center"/>
    </xf>
    <xf numFmtId="0" fontId="22" fillId="7" borderId="12" xfId="0" applyFont="1" applyFill="1" applyBorder="1" applyAlignment="1">
      <alignment horizontal="center" vertical="center" wrapText="1"/>
    </xf>
    <xf numFmtId="0" fontId="25" fillId="0" borderId="19" xfId="0" applyFont="1" applyBorder="1" applyAlignment="1">
      <alignment horizontal="left" vertical="center" wrapText="1"/>
    </xf>
    <xf numFmtId="0" fontId="25" fillId="0" borderId="13" xfId="0" applyFont="1" applyBorder="1" applyAlignment="1">
      <alignment horizontal="left" vertical="center" wrapText="1"/>
    </xf>
    <xf numFmtId="0" fontId="25" fillId="0" borderId="18" xfId="0" applyFont="1" applyBorder="1" applyAlignment="1">
      <alignment horizontal="left" vertical="center" wrapText="1"/>
    </xf>
    <xf numFmtId="0" fontId="30" fillId="0" borderId="0" xfId="0" applyFont="1" applyAlignment="1">
      <alignment horizontal="center" vertical="center"/>
    </xf>
    <xf numFmtId="0" fontId="23" fillId="4" borderId="4" xfId="0" applyFont="1" applyFill="1" applyBorder="1" applyAlignment="1">
      <alignment vertical="top" textRotation="90" wrapText="1" readingOrder="2"/>
    </xf>
    <xf numFmtId="0" fontId="9" fillId="0" borderId="0" xfId="0" applyFont="1">
      <alignment vertical="center"/>
    </xf>
    <xf numFmtId="0" fontId="23" fillId="8" borderId="4" xfId="0" applyFont="1" applyFill="1" applyBorder="1" applyAlignment="1">
      <alignment horizontal="center" vertical="center"/>
    </xf>
    <xf numFmtId="0" fontId="23" fillId="8" borderId="31" xfId="0" applyFont="1" applyFill="1" applyBorder="1" applyAlignment="1">
      <alignment horizontal="center" vertical="center"/>
    </xf>
    <xf numFmtId="0" fontId="23" fillId="8" borderId="32" xfId="0" applyFont="1" applyFill="1" applyBorder="1" applyAlignment="1">
      <alignment horizontal="center" vertical="center"/>
    </xf>
    <xf numFmtId="0" fontId="23" fillId="8" borderId="9" xfId="0" applyFont="1" applyFill="1" applyBorder="1" applyAlignment="1">
      <alignment horizontal="center" vertical="center"/>
    </xf>
    <xf numFmtId="0" fontId="23" fillId="8" borderId="22" xfId="0" applyFont="1" applyFill="1" applyBorder="1" applyAlignment="1">
      <alignment horizontal="center" vertical="center"/>
    </xf>
    <xf numFmtId="0" fontId="23" fillId="8" borderId="18" xfId="0" applyFont="1" applyFill="1" applyBorder="1" applyAlignment="1">
      <alignment horizontal="center" vertical="center"/>
    </xf>
    <xf numFmtId="0" fontId="23" fillId="8" borderId="34" xfId="0" applyFont="1" applyFill="1" applyBorder="1" applyAlignment="1">
      <alignment horizontal="center" vertical="center"/>
    </xf>
    <xf numFmtId="9" fontId="23" fillId="9" borderId="37" xfId="0" applyNumberFormat="1" applyFont="1" applyFill="1" applyBorder="1" applyAlignment="1">
      <alignment horizontal="center" vertical="center"/>
    </xf>
    <xf numFmtId="0" fontId="22" fillId="5" borderId="12" xfId="0" applyFont="1" applyFill="1" applyBorder="1" applyAlignment="1">
      <alignment horizontal="center" vertical="center" wrapText="1"/>
    </xf>
    <xf numFmtId="0" fontId="23" fillId="5" borderId="5"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3" fillId="8" borderId="47"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48" xfId="0" applyFont="1" applyFill="1" applyBorder="1" applyAlignment="1">
      <alignment horizontal="center" vertical="center"/>
    </xf>
    <xf numFmtId="0" fontId="23" fillId="8" borderId="47"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48" xfId="0" applyFont="1" applyFill="1" applyBorder="1" applyAlignment="1">
      <alignment horizontal="center" vertical="center" wrapText="1"/>
    </xf>
    <xf numFmtId="0" fontId="23" fillId="8" borderId="49" xfId="0" applyFont="1" applyFill="1" applyBorder="1" applyAlignment="1">
      <alignment horizontal="center" vertical="center"/>
    </xf>
    <xf numFmtId="0" fontId="23" fillId="8" borderId="2" xfId="0" applyFont="1" applyFill="1" applyBorder="1" applyAlignment="1">
      <alignment horizontal="center" vertical="center"/>
    </xf>
    <xf numFmtId="0" fontId="23" fillId="8" borderId="50" xfId="0" applyFont="1" applyFill="1" applyBorder="1" applyAlignment="1">
      <alignment horizontal="center" vertical="center"/>
    </xf>
    <xf numFmtId="0" fontId="23" fillId="8" borderId="45" xfId="0" applyFont="1" applyFill="1" applyBorder="1" applyAlignment="1">
      <alignment horizontal="center" vertical="center"/>
    </xf>
    <xf numFmtId="0" fontId="23" fillId="8" borderId="5" xfId="0" applyFont="1" applyFill="1" applyBorder="1" applyAlignment="1">
      <alignment horizontal="center" vertical="center"/>
    </xf>
    <xf numFmtId="0" fontId="23" fillId="8" borderId="46" xfId="0" applyFont="1" applyFill="1" applyBorder="1" applyAlignment="1">
      <alignment horizontal="center" vertical="center"/>
    </xf>
    <xf numFmtId="0" fontId="23" fillId="8" borderId="49" xfId="0" applyFont="1" applyFill="1" applyBorder="1" applyAlignment="1">
      <alignment horizontal="center" vertical="center" wrapText="1"/>
    </xf>
    <xf numFmtId="0" fontId="23" fillId="8" borderId="2" xfId="0" applyFont="1" applyFill="1" applyBorder="1" applyAlignment="1">
      <alignment horizontal="center" vertical="center" wrapText="1"/>
    </xf>
    <xf numFmtId="0" fontId="23" fillId="8" borderId="50" xfId="0" applyFont="1" applyFill="1" applyBorder="1" applyAlignment="1">
      <alignment horizontal="center" vertical="center" wrapText="1"/>
    </xf>
    <xf numFmtId="0" fontId="23" fillId="8" borderId="51" xfId="0" applyFont="1" applyFill="1" applyBorder="1" applyAlignment="1">
      <alignment horizontal="center" vertical="center" wrapText="1"/>
    </xf>
    <xf numFmtId="0" fontId="23" fillId="8" borderId="56" xfId="0" applyFont="1" applyFill="1" applyBorder="1" applyAlignment="1">
      <alignment horizontal="center" vertical="center" wrapText="1"/>
    </xf>
    <xf numFmtId="0" fontId="23" fillId="8" borderId="52" xfId="0" applyFont="1" applyFill="1" applyBorder="1" applyAlignment="1">
      <alignment horizontal="center" vertical="center" wrapText="1"/>
    </xf>
    <xf numFmtId="0" fontId="23" fillId="0" borderId="5" xfId="0" applyFont="1" applyBorder="1" applyAlignment="1">
      <alignment horizontal="center" vertical="center" wrapText="1"/>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xf>
    <xf numFmtId="0" fontId="23" fillId="0" borderId="5" xfId="0" applyFont="1" applyBorder="1" applyAlignment="1">
      <alignment horizontal="center" vertical="center"/>
    </xf>
    <xf numFmtId="0" fontId="23" fillId="0" borderId="2" xfId="0" applyFont="1" applyBorder="1" applyAlignment="1">
      <alignment horizontal="center" vertical="center" wrapText="1"/>
    </xf>
    <xf numFmtId="0" fontId="23" fillId="8" borderId="57" xfId="0" applyFont="1" applyFill="1" applyBorder="1" applyAlignment="1">
      <alignment horizontal="center" vertical="center" wrapText="1"/>
    </xf>
    <xf numFmtId="0" fontId="23" fillId="8" borderId="3" xfId="0" applyFont="1" applyFill="1" applyBorder="1" applyAlignment="1">
      <alignment horizontal="center" vertical="center" wrapText="1"/>
    </xf>
    <xf numFmtId="0" fontId="23" fillId="8" borderId="58" xfId="0" applyFont="1" applyFill="1" applyBorder="1" applyAlignment="1">
      <alignment horizontal="center" vertical="center" wrapText="1"/>
    </xf>
    <xf numFmtId="9" fontId="23" fillId="9" borderId="59" xfId="0" applyNumberFormat="1" applyFont="1" applyFill="1" applyBorder="1" applyAlignment="1">
      <alignment horizontal="center" vertical="center" wrapText="1"/>
    </xf>
    <xf numFmtId="0" fontId="23" fillId="9" borderId="42" xfId="0" applyFont="1" applyFill="1" applyBorder="1" applyAlignment="1">
      <alignment horizontal="center" vertical="center"/>
    </xf>
    <xf numFmtId="0" fontId="23" fillId="9" borderId="42" xfId="0" applyFont="1" applyFill="1" applyBorder="1" applyAlignment="1">
      <alignment horizontal="center" vertical="center" wrapText="1"/>
    </xf>
    <xf numFmtId="0" fontId="23" fillId="9" borderId="43" xfId="0" applyFont="1" applyFill="1" applyBorder="1" applyAlignment="1">
      <alignment horizontal="center" vertical="center"/>
    </xf>
    <xf numFmtId="0" fontId="23" fillId="9" borderId="41" xfId="0" applyFont="1" applyFill="1" applyBorder="1" applyAlignment="1">
      <alignment horizontal="center" vertical="center"/>
    </xf>
    <xf numFmtId="0" fontId="23" fillId="9" borderId="43" xfId="0" applyFont="1" applyFill="1" applyBorder="1" applyAlignment="1">
      <alignment horizontal="center" vertical="center" wrapText="1"/>
    </xf>
    <xf numFmtId="0" fontId="23" fillId="9" borderId="44"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5" borderId="5" xfId="0" applyFont="1" applyFill="1" applyBorder="1" applyAlignment="1">
      <alignment horizontal="center" vertical="center"/>
    </xf>
    <xf numFmtId="49" fontId="11" fillId="0" borderId="4" xfId="0" applyNumberFormat="1" applyFont="1" applyBorder="1" applyAlignment="1">
      <alignment horizontal="left" vertical="center" wrapText="1"/>
    </xf>
    <xf numFmtId="0" fontId="23" fillId="0" borderId="4" xfId="0" applyFont="1" applyBorder="1" applyAlignment="1">
      <alignment horizontal="center" vertical="center" wrapText="1"/>
    </xf>
    <xf numFmtId="0" fontId="23" fillId="0" borderId="4" xfId="0" quotePrefix="1" applyFont="1" applyBorder="1" applyAlignment="1">
      <alignment horizontal="center" vertical="center"/>
    </xf>
    <xf numFmtId="0" fontId="23" fillId="0" borderId="4" xfId="0" applyFont="1" applyBorder="1" applyAlignment="1">
      <alignment horizontal="center" vertical="center"/>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9" fontId="3" fillId="0" borderId="6" xfId="0" applyNumberFormat="1" applyFont="1" applyBorder="1" applyAlignment="1">
      <alignment horizontal="center" vertical="center"/>
    </xf>
    <xf numFmtId="9" fontId="3" fillId="0" borderId="3" xfId="0" applyNumberFormat="1" applyFont="1" applyBorder="1" applyAlignment="1">
      <alignment horizontal="center" vertical="center"/>
    </xf>
    <xf numFmtId="0" fontId="3" fillId="4" borderId="7" xfId="0" applyFont="1" applyFill="1" applyBorder="1" applyAlignment="1">
      <alignment horizontal="left" vertical="center" wrapText="1"/>
    </xf>
    <xf numFmtId="0" fontId="3" fillId="3" borderId="3" xfId="0" applyFont="1" applyFill="1" applyBorder="1" applyAlignment="1">
      <alignment horizontal="left" vertical="center" wrapText="1"/>
    </xf>
    <xf numFmtId="9" fontId="3" fillId="0" borderId="8" xfId="0" applyNumberFormat="1" applyFont="1" applyBorder="1" applyAlignment="1">
      <alignment horizontal="center" vertical="center"/>
    </xf>
    <xf numFmtId="9" fontId="3" fillId="0" borderId="9" xfId="0" applyNumberFormat="1" applyFont="1" applyBorder="1" applyAlignment="1">
      <alignment horizontal="center" vertical="center"/>
    </xf>
    <xf numFmtId="0" fontId="3" fillId="4" borderId="6" xfId="0" applyFont="1" applyFill="1" applyBorder="1" applyAlignment="1">
      <alignment horizontal="left" vertical="center" wrapText="1"/>
    </xf>
    <xf numFmtId="0" fontId="3" fillId="0" borderId="6" xfId="0" applyFont="1" applyBorder="1" applyAlignment="1">
      <alignment horizontal="left" vertical="center" wrapText="1"/>
    </xf>
    <xf numFmtId="0" fontId="3"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9" xfId="0" applyFont="1" applyBorder="1" applyAlignment="1">
      <alignment horizontal="left" vertical="center" wrapText="1"/>
    </xf>
    <xf numFmtId="0" fontId="3" fillId="3" borderId="7"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6" xfId="0" applyFont="1" applyBorder="1" applyAlignment="1">
      <alignment horizontal="center" vertical="center" wrapText="1"/>
    </xf>
    <xf numFmtId="0" fontId="3" fillId="0" borderId="8" xfId="0" quotePrefix="1" applyFont="1" applyBorder="1" applyAlignment="1">
      <alignment horizontal="center" vertical="center" wrapText="1"/>
    </xf>
    <xf numFmtId="0" fontId="3" fillId="0" borderId="3" xfId="0" quotePrefix="1" applyFont="1" applyBorder="1" applyAlignment="1">
      <alignment horizontal="center" vertical="center" wrapText="1"/>
    </xf>
    <xf numFmtId="9" fontId="3"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9" fontId="3" fillId="0" borderId="6" xfId="0" quotePrefix="1" applyNumberFormat="1" applyFont="1" applyBorder="1" applyAlignment="1">
      <alignment horizontal="center" vertical="center" wrapText="1"/>
    </xf>
    <xf numFmtId="9" fontId="3" fillId="0" borderId="8" xfId="0" quotePrefix="1" applyNumberFormat="1" applyFont="1" applyBorder="1" applyAlignment="1">
      <alignment horizontal="center" vertical="center" wrapText="1"/>
    </xf>
    <xf numFmtId="9" fontId="3" fillId="0" borderId="3" xfId="0" quotePrefix="1" applyNumberFormat="1" applyFont="1" applyBorder="1" applyAlignment="1">
      <alignment horizontal="center" vertical="center" wrapText="1"/>
    </xf>
    <xf numFmtId="0" fontId="3" fillId="0" borderId="3" xfId="0" applyFont="1" applyBorder="1" applyAlignment="1">
      <alignment horizontal="center" vertical="center"/>
    </xf>
    <xf numFmtId="0" fontId="3" fillId="0" borderId="6" xfId="0" applyFont="1" applyBorder="1" applyAlignment="1">
      <alignment horizontal="left" vertical="center"/>
    </xf>
    <xf numFmtId="0" fontId="3" fillId="0" borderId="8" xfId="0" applyFont="1" applyBorder="1" applyAlignment="1">
      <alignment horizontal="left" vertical="center"/>
    </xf>
    <xf numFmtId="0" fontId="3" fillId="0" borderId="3" xfId="0" applyFont="1" applyBorder="1" applyAlignment="1">
      <alignment horizontal="left" vertical="center"/>
    </xf>
    <xf numFmtId="9" fontId="3" fillId="0" borderId="7" xfId="0" applyNumberFormat="1" applyFont="1" applyBorder="1" applyAlignment="1">
      <alignment horizontal="center" vertical="center"/>
    </xf>
    <xf numFmtId="0" fontId="3" fillId="0" borderId="9" xfId="0" quotePrefix="1" applyFont="1" applyBorder="1" applyAlignment="1">
      <alignment horizontal="center" vertical="center" wrapText="1"/>
    </xf>
    <xf numFmtId="0" fontId="3" fillId="0" borderId="7" xfId="0" applyFont="1" applyBorder="1" applyAlignment="1">
      <alignment horizontal="left" vertical="center"/>
    </xf>
    <xf numFmtId="9" fontId="3" fillId="0" borderId="7" xfId="0" quotePrefix="1" applyNumberFormat="1" applyFont="1" applyBorder="1" applyAlignment="1">
      <alignment horizontal="center" vertical="center" wrapText="1"/>
    </xf>
    <xf numFmtId="0" fontId="3" fillId="0" borderId="7" xfId="0" applyFont="1" applyBorder="1" applyAlignment="1">
      <alignment horizontal="center" vertical="center"/>
    </xf>
    <xf numFmtId="0" fontId="3" fillId="0" borderId="10" xfId="0" quotePrefix="1" applyFont="1" applyBorder="1" applyAlignment="1">
      <alignment horizontal="left" vertical="center" wrapText="1"/>
    </xf>
    <xf numFmtId="14" fontId="14" fillId="0" borderId="0" xfId="0" applyNumberFormat="1" applyFont="1" applyAlignment="1">
      <alignment horizontal="center" vertical="center"/>
    </xf>
    <xf numFmtId="0" fontId="14" fillId="0" borderId="0" xfId="0" applyFont="1" applyAlignment="1">
      <alignment horizontal="center" vertical="center"/>
    </xf>
    <xf numFmtId="0" fontId="12" fillId="0" borderId="0" xfId="0" applyFont="1" applyAlignment="1">
      <alignment horizontal="left" vertical="top"/>
    </xf>
    <xf numFmtId="0" fontId="13" fillId="0" borderId="0" xfId="0" applyFont="1" applyAlignment="1">
      <alignment horizontal="center" vertical="center"/>
    </xf>
    <xf numFmtId="0" fontId="15" fillId="0" borderId="15" xfId="0" applyFont="1" applyBorder="1" applyAlignment="1">
      <alignment horizontal="center" vertical="center"/>
    </xf>
    <xf numFmtId="0" fontId="16" fillId="0" borderId="0" xfId="0" applyFont="1" applyAlignment="1">
      <alignment horizontal="center" vertical="center"/>
    </xf>
    <xf numFmtId="0" fontId="14" fillId="0" borderId="16" xfId="0" applyFont="1" applyBorder="1" applyAlignment="1">
      <alignment horizontal="center" vertical="center"/>
    </xf>
    <xf numFmtId="0" fontId="11" fillId="0" borderId="7" xfId="0" applyFont="1" applyBorder="1" applyAlignment="1">
      <alignment horizontal="center" vertical="center"/>
    </xf>
    <xf numFmtId="0" fontId="11" fillId="0" borderId="9" xfId="0" applyFont="1" applyBorder="1" applyAlignment="1">
      <alignment horizontal="center" vertical="center"/>
    </xf>
    <xf numFmtId="0" fontId="11" fillId="0" borderId="7" xfId="0" applyFont="1" applyBorder="1" applyAlignment="1">
      <alignment horizontal="left" vertical="center" wrapText="1"/>
    </xf>
    <xf numFmtId="0" fontId="11" fillId="0" borderId="9" xfId="0" applyFont="1" applyBorder="1" applyAlignment="1">
      <alignment horizontal="left" vertical="center" wrapText="1"/>
    </xf>
    <xf numFmtId="0" fontId="20" fillId="0" borderId="0" xfId="0" applyFont="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25" fillId="0" borderId="21" xfId="0" applyFont="1" applyBorder="1" applyAlignment="1">
      <alignment horizontal="left" vertical="center" wrapText="1"/>
    </xf>
    <xf numFmtId="0" fontId="25" fillId="0" borderId="22" xfId="0" applyFont="1" applyBorder="1" applyAlignment="1">
      <alignment horizontal="left" vertical="center" wrapText="1"/>
    </xf>
    <xf numFmtId="0" fontId="25" fillId="0" borderId="26" xfId="0" applyFont="1" applyBorder="1" applyAlignment="1">
      <alignment horizontal="left" vertical="center" wrapText="1"/>
    </xf>
    <xf numFmtId="0" fontId="25" fillId="0" borderId="20" xfId="0" applyFont="1" applyBorder="1" applyAlignment="1">
      <alignment horizontal="left"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25" xfId="0" applyFont="1" applyBorder="1" applyAlignment="1">
      <alignment horizontal="center" vertical="center" wrapText="1"/>
    </xf>
    <xf numFmtId="0" fontId="31" fillId="6" borderId="27" xfId="0" applyFont="1" applyFill="1" applyBorder="1" applyAlignment="1">
      <alignment horizontal="left" vertical="center" wrapText="1"/>
    </xf>
    <xf numFmtId="0" fontId="23" fillId="8" borderId="33" xfId="0" applyFont="1" applyFill="1" applyBorder="1" applyAlignment="1">
      <alignment horizontal="center" vertical="center"/>
    </xf>
    <xf numFmtId="0" fontId="23" fillId="8" borderId="34" xfId="0" applyFont="1" applyFill="1" applyBorder="1" applyAlignment="1">
      <alignment horizontal="center" vertical="center"/>
    </xf>
    <xf numFmtId="0" fontId="23" fillId="9" borderId="35" xfId="0" applyFont="1" applyFill="1" applyBorder="1" applyAlignment="1">
      <alignment horizontal="center" vertical="center"/>
    </xf>
    <xf numFmtId="0" fontId="23" fillId="9" borderId="36" xfId="0" applyFont="1" applyFill="1" applyBorder="1" applyAlignment="1">
      <alignment horizontal="center" vertical="center"/>
    </xf>
    <xf numFmtId="0" fontId="23" fillId="8" borderId="28" xfId="0" applyFont="1" applyFill="1" applyBorder="1" applyAlignment="1">
      <alignment horizontal="center" vertical="center"/>
    </xf>
    <xf numFmtId="0" fontId="23" fillId="8" borderId="30" xfId="0" applyFont="1" applyFill="1" applyBorder="1" applyAlignment="1">
      <alignment horizontal="center" vertical="center"/>
    </xf>
    <xf numFmtId="0" fontId="23" fillId="8" borderId="29" xfId="0" applyFont="1" applyFill="1" applyBorder="1" applyAlignment="1">
      <alignment horizontal="center" vertical="center"/>
    </xf>
    <xf numFmtId="0" fontId="23" fillId="8" borderId="31" xfId="0" applyFont="1" applyFill="1" applyBorder="1" applyAlignment="1">
      <alignment horizontal="center" vertical="center"/>
    </xf>
    <xf numFmtId="0" fontId="24" fillId="4" borderId="18" xfId="0" applyFont="1" applyFill="1" applyBorder="1" applyAlignment="1">
      <alignment horizontal="center" vertical="center"/>
    </xf>
    <xf numFmtId="0" fontId="24" fillId="4" borderId="24" xfId="0" applyFont="1" applyFill="1" applyBorder="1" applyAlignment="1">
      <alignment horizontal="center" vertical="center"/>
    </xf>
    <xf numFmtId="0" fontId="24" fillId="4" borderId="63" xfId="0" applyFont="1" applyFill="1" applyBorder="1" applyAlignment="1">
      <alignment horizontal="center" vertical="center"/>
    </xf>
    <xf numFmtId="0" fontId="23" fillId="8" borderId="53" xfId="0" applyFont="1" applyFill="1" applyBorder="1" applyAlignment="1">
      <alignment horizontal="center" vertical="center"/>
    </xf>
    <xf numFmtId="0" fontId="23" fillId="8" borderId="60" xfId="0" applyFont="1" applyFill="1" applyBorder="1" applyAlignment="1">
      <alignment horizontal="center" vertical="center"/>
    </xf>
    <xf numFmtId="0" fontId="23" fillId="8" borderId="54" xfId="0" applyFont="1" applyFill="1" applyBorder="1" applyAlignment="1">
      <alignment horizontal="center" vertical="center"/>
    </xf>
    <xf numFmtId="0" fontId="23" fillId="8" borderId="61" xfId="0" applyFont="1" applyFill="1" applyBorder="1" applyAlignment="1">
      <alignment horizontal="center" vertical="center"/>
    </xf>
    <xf numFmtId="0" fontId="23" fillId="8" borderId="55" xfId="0" applyFont="1" applyFill="1" applyBorder="1" applyAlignment="1">
      <alignment horizontal="center" vertical="center"/>
    </xf>
    <xf numFmtId="0" fontId="23" fillId="8" borderId="62" xfId="0" applyFont="1" applyFill="1" applyBorder="1" applyAlignment="1">
      <alignment horizontal="center" vertical="center"/>
    </xf>
    <xf numFmtId="0" fontId="23" fillId="9" borderId="64" xfId="0" applyFont="1" applyFill="1" applyBorder="1" applyAlignment="1">
      <alignment horizontal="center" vertical="center"/>
    </xf>
    <xf numFmtId="0" fontId="23" fillId="9" borderId="65" xfId="0" applyFont="1" applyFill="1" applyBorder="1" applyAlignment="1">
      <alignment horizontal="center" vertical="center"/>
    </xf>
    <xf numFmtId="0" fontId="22" fillId="8" borderId="54" xfId="0" applyFont="1" applyFill="1" applyBorder="1" applyAlignment="1">
      <alignment horizontal="center" vertical="center" wrapText="1"/>
    </xf>
    <xf numFmtId="0" fontId="22" fillId="8" borderId="61" xfId="0" applyFont="1" applyFill="1" applyBorder="1" applyAlignment="1">
      <alignment horizontal="center" vertical="center" wrapText="1"/>
    </xf>
    <xf numFmtId="0" fontId="22" fillId="8" borderId="55" xfId="0" applyFont="1" applyFill="1" applyBorder="1" applyAlignment="1">
      <alignment horizontal="center" vertical="center" wrapText="1"/>
    </xf>
    <xf numFmtId="0" fontId="22" fillId="8" borderId="62" xfId="0" applyFont="1" applyFill="1" applyBorder="1" applyAlignment="1">
      <alignment horizontal="center" vertical="center" wrapText="1"/>
    </xf>
    <xf numFmtId="0" fontId="23" fillId="4" borderId="6" xfId="0" applyFont="1" applyFill="1" applyBorder="1" applyAlignment="1">
      <alignment horizontal="left" vertical="center" wrapText="1"/>
    </xf>
    <xf numFmtId="0" fontId="23" fillId="4" borderId="3" xfId="0" applyFont="1" applyFill="1" applyBorder="1" applyAlignment="1">
      <alignment horizontal="left" vertical="center" wrapText="1"/>
    </xf>
    <xf numFmtId="0" fontId="20" fillId="0" borderId="16" xfId="0" applyFont="1" applyBorder="1" applyAlignment="1">
      <alignment horizontal="center" vertical="center"/>
    </xf>
    <xf numFmtId="0" fontId="23" fillId="4" borderId="9" xfId="0" applyFont="1" applyFill="1" applyBorder="1" applyAlignment="1">
      <alignment horizontal="left" vertical="center" wrapText="1"/>
    </xf>
    <xf numFmtId="0" fontId="22" fillId="5" borderId="39" xfId="0" applyFont="1" applyFill="1" applyBorder="1" applyAlignment="1">
      <alignment horizontal="center" vertical="center" wrapText="1"/>
    </xf>
    <xf numFmtId="0" fontId="22" fillId="5" borderId="38" xfId="0" applyFont="1" applyFill="1" applyBorder="1" applyAlignment="1">
      <alignment horizontal="center" vertical="center" wrapText="1"/>
    </xf>
    <xf numFmtId="0" fontId="22" fillId="5" borderId="40" xfId="0" applyFont="1" applyFill="1" applyBorder="1" applyAlignment="1">
      <alignment horizontal="center" vertical="center" wrapText="1"/>
    </xf>
    <xf numFmtId="0" fontId="22" fillId="8" borderId="53" xfId="0" applyFont="1" applyFill="1" applyBorder="1" applyAlignment="1">
      <alignment horizontal="center" vertical="center" wrapText="1"/>
    </xf>
    <xf numFmtId="0" fontId="22" fillId="8" borderId="60" xfId="0" applyFont="1" applyFill="1" applyBorder="1" applyAlignment="1">
      <alignment horizontal="center" vertical="center" wrapText="1"/>
    </xf>
    <xf numFmtId="0" fontId="24" fillId="4" borderId="66" xfId="0" applyFont="1" applyFill="1" applyBorder="1" applyAlignment="1">
      <alignment horizontal="center" vertical="center"/>
    </xf>
    <xf numFmtId="0" fontId="23" fillId="4" borderId="7" xfId="0" applyFont="1" applyFill="1" applyBorder="1" applyAlignment="1">
      <alignment horizontal="center" vertical="center" wrapText="1"/>
    </xf>
    <xf numFmtId="0" fontId="23" fillId="4" borderId="9"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4" borderId="8" xfId="0" applyFont="1" applyFill="1" applyBorder="1" applyAlignment="1">
      <alignment horizontal="left" vertical="center" wrapText="1"/>
    </xf>
    <xf numFmtId="0" fontId="23" fillId="4" borderId="7" xfId="0" applyFont="1" applyFill="1" applyBorder="1" applyAlignment="1">
      <alignment horizontal="left" vertical="center" wrapText="1"/>
    </xf>
    <xf numFmtId="0" fontId="20" fillId="0" borderId="23" xfId="0" applyFont="1" applyBorder="1" applyAlignment="1">
      <alignment horizontal="center" vertical="center"/>
    </xf>
    <xf numFmtId="0" fontId="25" fillId="0" borderId="4" xfId="0" applyFont="1" applyBorder="1" applyAlignment="1">
      <alignment horizontal="center" vertical="center" wrapText="1"/>
    </xf>
  </cellXfs>
  <cellStyles count="6">
    <cellStyle name="표준" xfId="0" builtinId="0"/>
    <cellStyle name="표준 2" xfId="1" xr:uid="{00000000-0005-0000-0000-000001000000}"/>
    <cellStyle name="표준 2 2" xfId="2" xr:uid="{00000000-0005-0000-0000-000002000000}"/>
    <cellStyle name="표준 2 3" xfId="3" xr:uid="{00000000-0005-0000-0000-000003000000}"/>
    <cellStyle name="표준 2 4" xfId="4" xr:uid="{00000000-0005-0000-0000-000004000000}"/>
    <cellStyle name="하이퍼링크" xfId="5" builtinId="8"/>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114300</xdr:colOff>
      <xdr:row>0</xdr:row>
      <xdr:rowOff>0</xdr:rowOff>
    </xdr:from>
    <xdr:to>
      <xdr:col>11</xdr:col>
      <xdr:colOff>476250</xdr:colOff>
      <xdr:row>0</xdr:row>
      <xdr:rowOff>0</xdr:rowOff>
    </xdr:to>
    <xdr:grpSp>
      <xdr:nvGrpSpPr>
        <xdr:cNvPr id="160051" name="Group 8">
          <a:extLst>
            <a:ext uri="{FF2B5EF4-FFF2-40B4-BE49-F238E27FC236}">
              <a16:creationId xmlns:a16="http://schemas.microsoft.com/office/drawing/2014/main" id="{00000000-0008-0000-0200-000033710200}"/>
            </a:ext>
          </a:extLst>
        </xdr:cNvPr>
        <xdr:cNvGrpSpPr>
          <a:grpSpLocks/>
        </xdr:cNvGrpSpPr>
      </xdr:nvGrpSpPr>
      <xdr:grpSpPr bwMode="auto">
        <a:xfrm>
          <a:off x="2143125" y="0"/>
          <a:ext cx="5772150" cy="0"/>
          <a:chOff x="101" y="205"/>
          <a:chExt cx="601" cy="113"/>
        </a:xfrm>
      </xdr:grpSpPr>
      <xdr:sp macro="" textlink="">
        <xdr:nvSpPr>
          <xdr:cNvPr id="5" name="Text Box 9">
            <a:extLst>
              <a:ext uri="{FF2B5EF4-FFF2-40B4-BE49-F238E27FC236}">
                <a16:creationId xmlns:a16="http://schemas.microsoft.com/office/drawing/2014/main" id="{00000000-0008-0000-0200-000005000000}"/>
              </a:ext>
            </a:extLst>
          </xdr:cNvPr>
          <xdr:cNvSpPr txBox="1">
            <a:spLocks noChangeArrowheads="1"/>
          </xdr:cNvSpPr>
        </xdr:nvSpPr>
        <xdr:spPr bwMode="auto">
          <a:xfrm>
            <a:off x="104" y="208"/>
            <a:ext cx="598" cy="106"/>
          </a:xfrm>
          <a:prstGeom prst="rect">
            <a:avLst/>
          </a:prstGeom>
          <a:solidFill>
            <a:srgbClr val="FFFFFF"/>
          </a:solidFill>
          <a:ln w="9525">
            <a:noFill/>
            <a:miter lim="800000"/>
            <a:headEnd/>
            <a:tailEnd/>
          </a:ln>
        </xdr:spPr>
        <xdr:txBody>
          <a:bodyPr vertOverflow="clip" wrap="square" lIns="91440" tIns="45720" rIns="91440" bIns="45720" anchor="t" upright="1"/>
          <a:lstStyle/>
          <a:p>
            <a:pPr algn="l" rtl="1">
              <a:defRPr sz="1000"/>
            </a:pPr>
            <a:r>
              <a:rPr lang="ko-KR" altLang="en-US" sz="1800" b="1" i="0" strike="noStrike">
                <a:solidFill>
                  <a:srgbClr val="969696"/>
                </a:solidFill>
                <a:latin typeface="굴림"/>
                <a:ea typeface="굴림"/>
              </a:rPr>
              <a:t>프로젝트 명 입력</a:t>
            </a:r>
            <a:endParaRPr lang="ko-KR" altLang="en-US" sz="2400" b="1" i="0" strike="noStrike">
              <a:solidFill>
                <a:srgbClr val="000000"/>
              </a:solidFill>
              <a:latin typeface="Times New Roman"/>
              <a:cs typeface="Times New Roman"/>
            </a:endParaRPr>
          </a:p>
          <a:p>
            <a:pPr algn="l" rtl="1">
              <a:lnSpc>
                <a:spcPts val="3100"/>
              </a:lnSpc>
              <a:defRPr sz="1000"/>
            </a:pPr>
            <a:r>
              <a:rPr lang="ko-KR" altLang="en-US" sz="2600" b="1" i="0" strike="noStrike">
                <a:solidFill>
                  <a:srgbClr val="000000"/>
                </a:solidFill>
                <a:latin typeface="굴림"/>
                <a:ea typeface="굴림"/>
              </a:rPr>
              <a:t>웹사이트 품질진단 점검표</a:t>
            </a:r>
          </a:p>
        </xdr:txBody>
      </xdr:sp>
      <xdr:sp macro="" textlink="">
        <xdr:nvSpPr>
          <xdr:cNvPr id="160056" name="Line 10">
            <a:extLst>
              <a:ext uri="{FF2B5EF4-FFF2-40B4-BE49-F238E27FC236}">
                <a16:creationId xmlns:a16="http://schemas.microsoft.com/office/drawing/2014/main" id="{00000000-0008-0000-0200-000038710200}"/>
              </a:ext>
            </a:extLst>
          </xdr:cNvPr>
          <xdr:cNvSpPr>
            <a:spLocks noChangeShapeType="1"/>
          </xdr:cNvSpPr>
        </xdr:nvSpPr>
        <xdr:spPr bwMode="auto">
          <a:xfrm flipV="1">
            <a:off x="101" y="205"/>
            <a:ext cx="0" cy="113"/>
          </a:xfrm>
          <a:prstGeom prst="line">
            <a:avLst/>
          </a:prstGeom>
          <a:noFill/>
          <a:ln w="57150">
            <a:solidFill>
              <a:srgbClr val="C0C0C0"/>
            </a:solidFill>
            <a:round/>
            <a:headEnd/>
            <a:tailEnd/>
          </a:ln>
          <a:extLst>
            <a:ext uri="{909E8E84-426E-40DD-AFC4-6F175D3DCCD1}">
              <a14:hiddenFill xmlns:a14="http://schemas.microsoft.com/office/drawing/2010/main">
                <a:noFill/>
              </a14:hiddenFill>
            </a:ext>
          </a:extLst>
        </xdr:spPr>
      </xdr:sp>
    </xdr:grpSp>
    <xdr:clientData/>
  </xdr:twoCellAnchor>
  <xdr:twoCellAnchor>
    <xdr:from>
      <xdr:col>0</xdr:col>
      <xdr:colOff>710565</xdr:colOff>
      <xdr:row>0</xdr:row>
      <xdr:rowOff>0</xdr:rowOff>
    </xdr:from>
    <xdr:to>
      <xdr:col>12</xdr:col>
      <xdr:colOff>217795</xdr:colOff>
      <xdr:row>0</xdr:row>
      <xdr:rowOff>0</xdr:rowOff>
    </xdr:to>
    <xdr:sp macro="" textlink="">
      <xdr:nvSpPr>
        <xdr:cNvPr id="9" name="Text Box 9">
          <a:extLst>
            <a:ext uri="{FF2B5EF4-FFF2-40B4-BE49-F238E27FC236}">
              <a16:creationId xmlns:a16="http://schemas.microsoft.com/office/drawing/2014/main" id="{00000000-0008-0000-0200-000009000000}"/>
            </a:ext>
          </a:extLst>
        </xdr:cNvPr>
        <xdr:cNvSpPr txBox="1">
          <a:spLocks noChangeArrowheads="1"/>
        </xdr:cNvSpPr>
      </xdr:nvSpPr>
      <xdr:spPr bwMode="auto">
        <a:xfrm>
          <a:off x="710565" y="5711788"/>
          <a:ext cx="8657606" cy="263874"/>
        </a:xfrm>
        <a:prstGeom prst="rect">
          <a:avLst/>
        </a:prstGeom>
        <a:noFill/>
        <a:ln w="9525">
          <a:noFill/>
          <a:miter lim="800000"/>
          <a:headEnd/>
          <a:tailEnd/>
        </a:ln>
      </xdr:spPr>
      <xdr:txBody>
        <a:bodyPr vertOverflow="clip" wrap="square" lIns="91440" tIns="45720" rIns="91440" bIns="45720" anchor="t" upright="1"/>
        <a:lstStyle/>
        <a:p>
          <a:pPr algn="ctr" rtl="1">
            <a:defRPr sz="1000"/>
          </a:pPr>
          <a:r>
            <a:rPr lang="ko-KR" altLang="en-US" sz="800" b="0" i="0" strike="noStrike">
              <a:solidFill>
                <a:srgbClr val="000000"/>
              </a:solidFill>
              <a:latin typeface="돋움"/>
              <a:ea typeface="돋움"/>
            </a:rPr>
            <a:t>솔리데오시스템즈의 사전 승인 없이 본 내용의 전부 또는 일부에 대한 복사</a:t>
          </a:r>
          <a:r>
            <a:rPr lang="en-US" altLang="ko-KR" sz="800" b="0" i="0" strike="noStrike">
              <a:solidFill>
                <a:srgbClr val="000000"/>
              </a:solidFill>
              <a:latin typeface="돋움"/>
              <a:ea typeface="돋움"/>
            </a:rPr>
            <a:t>, </a:t>
          </a:r>
          <a:r>
            <a:rPr lang="ko-KR" altLang="en-US" sz="800" b="0" i="0" strike="noStrike">
              <a:solidFill>
                <a:srgbClr val="000000"/>
              </a:solidFill>
              <a:latin typeface="돋움"/>
              <a:ea typeface="돋움"/>
            </a:rPr>
            <a:t>전재</a:t>
          </a:r>
          <a:r>
            <a:rPr lang="en-US" altLang="ko-KR" sz="800" b="0" i="0" strike="noStrike">
              <a:solidFill>
                <a:srgbClr val="000000"/>
              </a:solidFill>
              <a:latin typeface="돋움"/>
              <a:ea typeface="돋움"/>
            </a:rPr>
            <a:t>, </a:t>
          </a:r>
          <a:r>
            <a:rPr lang="ko-KR" altLang="en-US" sz="800" b="0" i="0" strike="noStrike">
              <a:solidFill>
                <a:srgbClr val="000000"/>
              </a:solidFill>
              <a:latin typeface="돋움"/>
              <a:ea typeface="돋움"/>
            </a:rPr>
            <a:t>배포</a:t>
          </a:r>
          <a:r>
            <a:rPr lang="en-US" altLang="ko-KR" sz="800" b="0" i="0" strike="noStrike">
              <a:solidFill>
                <a:srgbClr val="000000"/>
              </a:solidFill>
              <a:latin typeface="돋움"/>
              <a:ea typeface="돋움"/>
            </a:rPr>
            <a:t>, </a:t>
          </a:r>
          <a:r>
            <a:rPr lang="ko-KR" altLang="en-US" sz="800" b="0" i="0" strike="noStrike">
              <a:solidFill>
                <a:srgbClr val="000000"/>
              </a:solidFill>
              <a:latin typeface="돋움"/>
              <a:ea typeface="돋움"/>
            </a:rPr>
            <a:t>사용을 금합니다</a:t>
          </a:r>
          <a:r>
            <a:rPr lang="en-US" altLang="ko-KR" sz="800" b="0" i="0" strike="noStrike">
              <a:solidFill>
                <a:srgbClr val="000000"/>
              </a:solidFill>
              <a:latin typeface="돋움"/>
              <a:ea typeface="돋움"/>
            </a:rPr>
            <a:t>.</a:t>
          </a:r>
        </a:p>
      </xdr:txBody>
    </xdr:sp>
    <xdr:clientData/>
  </xdr:twoCellAnchor>
  <xdr:twoCellAnchor>
    <xdr:from>
      <xdr:col>9</xdr:col>
      <xdr:colOff>495300</xdr:colOff>
      <xdr:row>0</xdr:row>
      <xdr:rowOff>0</xdr:rowOff>
    </xdr:from>
    <xdr:to>
      <xdr:col>12</xdr:col>
      <xdr:colOff>409575</xdr:colOff>
      <xdr:row>0</xdr:row>
      <xdr:rowOff>0</xdr:rowOff>
    </xdr:to>
    <xdr:pic>
      <xdr:nvPicPr>
        <xdr:cNvPr id="160054" name="그림 1">
          <a:extLst>
            <a:ext uri="{FF2B5EF4-FFF2-40B4-BE49-F238E27FC236}">
              <a16:creationId xmlns:a16="http://schemas.microsoft.com/office/drawing/2014/main" id="{00000000-0008-0000-0200-0000367102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20155" b="-6248"/>
        <a:stretch>
          <a:fillRect/>
        </a:stretch>
      </xdr:blipFill>
      <xdr:spPr bwMode="auto">
        <a:xfrm>
          <a:off x="7353300" y="5334000"/>
          <a:ext cx="22002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511569</xdr:colOff>
      <xdr:row>1</xdr:row>
      <xdr:rowOff>123825</xdr:rowOff>
    </xdr:from>
    <xdr:to>
      <xdr:col>7</xdr:col>
      <xdr:colOff>259956</xdr:colOff>
      <xdr:row>1</xdr:row>
      <xdr:rowOff>533680</xdr:rowOff>
    </xdr:to>
    <xdr:pic>
      <xdr:nvPicPr>
        <xdr:cNvPr id="8" name="그림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21569" y="504825"/>
          <a:ext cx="1272387" cy="409855"/>
        </a:xfrm>
        <a:prstGeom prst="rect">
          <a:avLst/>
        </a:prstGeom>
      </xdr:spPr>
    </xdr:pic>
    <xdr:clientData/>
  </xdr:twoCellAnchor>
  <xdr:twoCellAnchor editAs="oneCell">
    <xdr:from>
      <xdr:col>5</xdr:col>
      <xdr:colOff>511569</xdr:colOff>
      <xdr:row>1</xdr:row>
      <xdr:rowOff>104775</xdr:rowOff>
    </xdr:from>
    <xdr:to>
      <xdr:col>7</xdr:col>
      <xdr:colOff>259956</xdr:colOff>
      <xdr:row>1</xdr:row>
      <xdr:rowOff>514630</xdr:rowOff>
    </xdr:to>
    <xdr:pic>
      <xdr:nvPicPr>
        <xdr:cNvPr id="11" name="그림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21569" y="485775"/>
          <a:ext cx="1272387" cy="409855"/>
        </a:xfrm>
        <a:prstGeom prst="rect">
          <a:avLst/>
        </a:prstGeom>
      </xdr:spPr>
    </xdr:pic>
    <xdr:clientData/>
  </xdr:twoCellAnchor>
  <xdr:twoCellAnchor editAs="oneCell">
    <xdr:from>
      <xdr:col>5</xdr:col>
      <xdr:colOff>123825</xdr:colOff>
      <xdr:row>1</xdr:row>
      <xdr:rowOff>123825</xdr:rowOff>
    </xdr:from>
    <xdr:to>
      <xdr:col>7</xdr:col>
      <xdr:colOff>591058</xdr:colOff>
      <xdr:row>1</xdr:row>
      <xdr:rowOff>504190</xdr:rowOff>
    </xdr:to>
    <xdr:pic>
      <xdr:nvPicPr>
        <xdr:cNvPr id="12" name="Picture 19">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3933825" y="504825"/>
          <a:ext cx="1991233" cy="380365"/>
        </a:xfrm>
        <a:prstGeom prst="rect">
          <a:avLst/>
        </a:prstGeom>
        <a:noFill/>
        <a:ln>
          <a:noFill/>
        </a:ln>
        <a:effectLst/>
      </xdr:spPr>
    </xdr:pic>
    <xdr:clientData/>
  </xdr:twoCellAnchor>
  <xdr:twoCellAnchor editAs="oneCell">
    <xdr:from>
      <xdr:col>4</xdr:col>
      <xdr:colOff>106680</xdr:colOff>
      <xdr:row>7</xdr:row>
      <xdr:rowOff>335280</xdr:rowOff>
    </xdr:from>
    <xdr:to>
      <xdr:col>8</xdr:col>
      <xdr:colOff>530358</xdr:colOff>
      <xdr:row>7</xdr:row>
      <xdr:rowOff>835153</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4"/>
        <a:stretch>
          <a:fillRect/>
        </a:stretch>
      </xdr:blipFill>
      <xdr:spPr>
        <a:xfrm>
          <a:off x="2819400" y="5417820"/>
          <a:ext cx="3136398" cy="4998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xdr:row>
      <xdr:rowOff>365088</xdr:rowOff>
    </xdr:from>
    <xdr:ext cx="213899" cy="264560"/>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6501915" y="175573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10</xdr:col>
      <xdr:colOff>24915</xdr:colOff>
      <xdr:row>1</xdr:row>
      <xdr:rowOff>365088</xdr:rowOff>
    </xdr:from>
    <xdr:ext cx="213899" cy="264560"/>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4799321"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4</xdr:col>
      <xdr:colOff>0</xdr:colOff>
      <xdr:row>12</xdr:row>
      <xdr:rowOff>0</xdr:rowOff>
    </xdr:from>
    <xdr:ext cx="213899" cy="264560"/>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581611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10</xdr:col>
      <xdr:colOff>24915</xdr:colOff>
      <xdr:row>12</xdr:row>
      <xdr:rowOff>0</xdr:rowOff>
    </xdr:from>
    <xdr:ext cx="213899" cy="264560"/>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934036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1</xdr:row>
      <xdr:rowOff>365088</xdr:rowOff>
    </xdr:from>
    <xdr:ext cx="213899" cy="264560"/>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608281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4</xdr:col>
      <xdr:colOff>24915</xdr:colOff>
      <xdr:row>1</xdr:row>
      <xdr:rowOff>365088</xdr:rowOff>
    </xdr:from>
    <xdr:ext cx="213899" cy="264560"/>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0664340"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1</xdr:row>
      <xdr:rowOff>365088</xdr:rowOff>
    </xdr:from>
    <xdr:ext cx="213899" cy="264560"/>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581611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12</xdr:col>
      <xdr:colOff>24915</xdr:colOff>
      <xdr:row>1</xdr:row>
      <xdr:rowOff>365088</xdr:rowOff>
    </xdr:from>
    <xdr:ext cx="213899" cy="264560"/>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934036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11</xdr:col>
      <xdr:colOff>24915</xdr:colOff>
      <xdr:row>1</xdr:row>
      <xdr:rowOff>365088</xdr:rowOff>
    </xdr:from>
    <xdr:ext cx="213899" cy="264560"/>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0892940"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5</xdr:col>
      <xdr:colOff>24915</xdr:colOff>
      <xdr:row>1</xdr:row>
      <xdr:rowOff>365088</xdr:rowOff>
    </xdr:from>
    <xdr:ext cx="213899" cy="264560"/>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842596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22</xdr:col>
      <xdr:colOff>24915</xdr:colOff>
      <xdr:row>1</xdr:row>
      <xdr:rowOff>365088</xdr:rowOff>
    </xdr:from>
    <xdr:ext cx="213899" cy="264560"/>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1195021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4</xdr:col>
      <xdr:colOff>0</xdr:colOff>
      <xdr:row>1</xdr:row>
      <xdr:rowOff>365088</xdr:rowOff>
    </xdr:from>
    <xdr:ext cx="213899" cy="264560"/>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543877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oneCellAnchor>
    <xdr:from>
      <xdr:col>5</xdr:col>
      <xdr:colOff>24915</xdr:colOff>
      <xdr:row>1</xdr:row>
      <xdr:rowOff>365088</xdr:rowOff>
    </xdr:from>
    <xdr:ext cx="213899" cy="264560"/>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5816115" y="822288"/>
          <a:ext cx="21389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ko-KR" altLang="en-US"/>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132976</xdr:colOff>
      <xdr:row>3</xdr:row>
      <xdr:rowOff>539564</xdr:rowOff>
    </xdr:from>
    <xdr:to>
      <xdr:col>3</xdr:col>
      <xdr:colOff>2713730</xdr:colOff>
      <xdr:row>3</xdr:row>
      <xdr:rowOff>2188322</xdr:rowOff>
    </xdr:to>
    <xdr:pic>
      <xdr:nvPicPr>
        <xdr:cNvPr id="5" name="그림 4">
          <a:extLst>
            <a:ext uri="{FF2B5EF4-FFF2-40B4-BE49-F238E27FC236}">
              <a16:creationId xmlns:a16="http://schemas.microsoft.com/office/drawing/2014/main" id="{34688212-570A-46D2-BDC0-7C0FD72EE477}"/>
            </a:ext>
          </a:extLst>
        </xdr:cNvPr>
        <xdr:cNvPicPr>
          <a:picLocks noChangeAspect="1"/>
        </xdr:cNvPicPr>
      </xdr:nvPicPr>
      <xdr:blipFill>
        <a:blip xmlns:r="http://schemas.openxmlformats.org/officeDocument/2006/relationships" r:embed="rId1"/>
        <a:stretch>
          <a:fillRect/>
        </a:stretch>
      </xdr:blipFill>
      <xdr:spPr>
        <a:xfrm>
          <a:off x="4805829" y="1962711"/>
          <a:ext cx="2580754" cy="16487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xdr:colOff>
      <xdr:row>4</xdr:row>
      <xdr:rowOff>90765</xdr:rowOff>
    </xdr:from>
    <xdr:to>
      <xdr:col>3</xdr:col>
      <xdr:colOff>5458579</xdr:colOff>
      <xdr:row>18</xdr:row>
      <xdr:rowOff>180974</xdr:rowOff>
    </xdr:to>
    <xdr:pic>
      <xdr:nvPicPr>
        <xdr:cNvPr id="167328" name="그림 19">
          <a:extLst>
            <a:ext uri="{FF2B5EF4-FFF2-40B4-BE49-F238E27FC236}">
              <a16:creationId xmlns:a16="http://schemas.microsoft.com/office/drawing/2014/main" id="{00000000-0008-0000-0A00-0000A08D0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47900" y="1748115"/>
          <a:ext cx="10802104" cy="35573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hyperlink" Target="http://jigsaw.w3.org/css-validator/validator?profile=css2&amp;warning=2&amp;uri=http%3a%2f%2fcleanup.seoul.go.kr%2fassc%2fscrin-indx.action%3fcafeId%3d000999999998K2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view="pageBreakPreview" zoomScaleNormal="100" zoomScaleSheetLayoutView="100" workbookViewId="0">
      <selection activeCell="H8" sqref="H8:H10"/>
    </sheetView>
  </sheetViews>
  <sheetFormatPr defaultColWidth="8.9140625" defaultRowHeight="13" x14ac:dyDescent="0.25"/>
  <cols>
    <col min="1" max="1" width="8.08203125" style="1" bestFit="1" customWidth="1"/>
    <col min="2" max="2" width="16.6640625" style="3" bestFit="1" customWidth="1"/>
    <col min="3" max="3" width="31.08203125" style="3" customWidth="1"/>
    <col min="4" max="4" width="6" style="3" bestFit="1" customWidth="1"/>
    <col min="5" max="5" width="5.33203125" style="2" bestFit="1" customWidth="1"/>
    <col min="6" max="6" width="42" style="1" customWidth="1"/>
    <col min="7" max="7" width="7.6640625" style="2" bestFit="1" customWidth="1"/>
    <col min="8" max="8" width="29.33203125" style="4" customWidth="1"/>
    <col min="9" max="9" width="33.33203125" style="3" customWidth="1"/>
    <col min="10" max="16384" width="8.9140625" style="1"/>
  </cols>
  <sheetData>
    <row r="1" spans="1:9" ht="30.75" customHeight="1" x14ac:dyDescent="0.25">
      <c r="A1" s="8" t="s">
        <v>86</v>
      </c>
      <c r="B1" s="9" t="s">
        <v>87</v>
      </c>
      <c r="C1" s="9" t="s">
        <v>88</v>
      </c>
      <c r="D1" s="8" t="s">
        <v>89</v>
      </c>
      <c r="E1" s="9" t="s">
        <v>182</v>
      </c>
      <c r="F1" s="8" t="s">
        <v>90</v>
      </c>
      <c r="G1" s="8" t="s">
        <v>91</v>
      </c>
      <c r="H1" s="8" t="s">
        <v>92</v>
      </c>
    </row>
    <row r="2" spans="1:9" ht="24" customHeight="1" x14ac:dyDescent="0.25">
      <c r="A2" s="190" t="s">
        <v>93</v>
      </c>
      <c r="B2" s="181" t="s">
        <v>94</v>
      </c>
      <c r="C2" s="191" t="s">
        <v>95</v>
      </c>
      <c r="D2" s="209" t="s">
        <v>96</v>
      </c>
      <c r="E2" s="205">
        <v>0.9</v>
      </c>
      <c r="F2" s="11" t="s">
        <v>97</v>
      </c>
      <c r="G2" s="48"/>
      <c r="H2" s="191" t="s">
        <v>200</v>
      </c>
      <c r="I2" s="210"/>
    </row>
    <row r="3" spans="1:9" ht="39" x14ac:dyDescent="0.25">
      <c r="A3" s="172"/>
      <c r="B3" s="174"/>
      <c r="C3" s="188"/>
      <c r="D3" s="201"/>
      <c r="E3" s="180"/>
      <c r="F3" s="20" t="s">
        <v>98</v>
      </c>
      <c r="G3" s="51"/>
      <c r="H3" s="187"/>
      <c r="I3" s="210"/>
    </row>
    <row r="4" spans="1:9" ht="39" x14ac:dyDescent="0.25">
      <c r="A4" s="172"/>
      <c r="B4" s="174"/>
      <c r="C4" s="186" t="s">
        <v>99</v>
      </c>
      <c r="D4" s="176" t="s">
        <v>96</v>
      </c>
      <c r="E4" s="179">
        <v>0.9</v>
      </c>
      <c r="F4" s="12" t="s">
        <v>100</v>
      </c>
      <c r="G4" s="192"/>
      <c r="H4" s="187"/>
      <c r="I4" s="210"/>
    </row>
    <row r="5" spans="1:9" ht="26" x14ac:dyDescent="0.25">
      <c r="A5" s="172"/>
      <c r="B5" s="174"/>
      <c r="C5" s="187"/>
      <c r="D5" s="177"/>
      <c r="E5" s="183"/>
      <c r="F5" s="12" t="s">
        <v>101</v>
      </c>
      <c r="G5" s="193"/>
      <c r="H5" s="187"/>
      <c r="I5" s="37"/>
    </row>
    <row r="6" spans="1:9" ht="39" x14ac:dyDescent="0.25">
      <c r="A6" s="172"/>
      <c r="B6" s="174"/>
      <c r="C6" s="187"/>
      <c r="D6" s="177"/>
      <c r="E6" s="183"/>
      <c r="F6" s="12" t="s">
        <v>102</v>
      </c>
      <c r="G6" s="193"/>
      <c r="H6" s="187"/>
      <c r="I6" s="37"/>
    </row>
    <row r="7" spans="1:9" ht="39" x14ac:dyDescent="0.25">
      <c r="A7" s="172"/>
      <c r="B7" s="182"/>
      <c r="C7" s="188"/>
      <c r="D7" s="201"/>
      <c r="E7" s="180"/>
      <c r="F7" s="12" t="s">
        <v>103</v>
      </c>
      <c r="G7" s="194"/>
      <c r="H7" s="188"/>
      <c r="I7" s="37"/>
    </row>
    <row r="8" spans="1:9" ht="54.75" customHeight="1" x14ac:dyDescent="0.25">
      <c r="A8" s="172"/>
      <c r="B8" s="185" t="s">
        <v>104</v>
      </c>
      <c r="C8" s="186" t="s">
        <v>105</v>
      </c>
      <c r="D8" s="176" t="s">
        <v>96</v>
      </c>
      <c r="E8" s="179">
        <v>0.9</v>
      </c>
      <c r="F8" s="12" t="s">
        <v>106</v>
      </c>
      <c r="G8" s="195"/>
      <c r="H8" s="202" t="s">
        <v>107</v>
      </c>
    </row>
    <row r="9" spans="1:9" ht="48" customHeight="1" x14ac:dyDescent="0.25">
      <c r="A9" s="172"/>
      <c r="B9" s="174"/>
      <c r="C9" s="187"/>
      <c r="D9" s="177"/>
      <c r="E9" s="183"/>
      <c r="F9" s="38" t="s">
        <v>108</v>
      </c>
      <c r="G9" s="196"/>
      <c r="H9" s="203"/>
    </row>
    <row r="10" spans="1:9" ht="39.75" customHeight="1" x14ac:dyDescent="0.25">
      <c r="A10" s="172"/>
      <c r="B10" s="182"/>
      <c r="C10" s="188"/>
      <c r="D10" s="201"/>
      <c r="E10" s="180"/>
      <c r="F10" s="38" t="s">
        <v>109</v>
      </c>
      <c r="G10" s="197"/>
      <c r="H10" s="204"/>
    </row>
    <row r="11" spans="1:9" ht="26" x14ac:dyDescent="0.25">
      <c r="A11" s="172"/>
      <c r="B11" s="185" t="s">
        <v>110</v>
      </c>
      <c r="C11" s="186" t="s">
        <v>111</v>
      </c>
      <c r="D11" s="176" t="s">
        <v>96</v>
      </c>
      <c r="E11" s="179">
        <v>0.9</v>
      </c>
      <c r="F11" s="12" t="s">
        <v>112</v>
      </c>
      <c r="G11" s="198"/>
      <c r="H11" s="186" t="s">
        <v>79</v>
      </c>
    </row>
    <row r="12" spans="1:9" ht="26" x14ac:dyDescent="0.25">
      <c r="A12" s="172"/>
      <c r="B12" s="174"/>
      <c r="C12" s="187"/>
      <c r="D12" s="177"/>
      <c r="E12" s="183"/>
      <c r="F12" s="12" t="s">
        <v>113</v>
      </c>
      <c r="G12" s="193"/>
      <c r="H12" s="187"/>
    </row>
    <row r="13" spans="1:9" ht="26" x14ac:dyDescent="0.25">
      <c r="A13" s="172"/>
      <c r="B13" s="174"/>
      <c r="C13" s="187"/>
      <c r="D13" s="177"/>
      <c r="E13" s="183"/>
      <c r="F13" s="12" t="s">
        <v>114</v>
      </c>
      <c r="G13" s="193"/>
      <c r="H13" s="187"/>
    </row>
    <row r="14" spans="1:9" ht="39" x14ac:dyDescent="0.25">
      <c r="A14" s="173"/>
      <c r="B14" s="175"/>
      <c r="C14" s="189"/>
      <c r="D14" s="178"/>
      <c r="E14" s="184"/>
      <c r="F14" s="13" t="s">
        <v>115</v>
      </c>
      <c r="G14" s="206"/>
      <c r="H14" s="189"/>
    </row>
    <row r="15" spans="1:9" ht="47.25" customHeight="1" x14ac:dyDescent="0.25">
      <c r="A15" s="190" t="s">
        <v>116</v>
      </c>
      <c r="B15" s="181" t="s">
        <v>117</v>
      </c>
      <c r="C15" s="191" t="s">
        <v>118</v>
      </c>
      <c r="D15" s="209" t="s">
        <v>96</v>
      </c>
      <c r="E15" s="205">
        <v>0.9</v>
      </c>
      <c r="F15" s="11" t="s">
        <v>119</v>
      </c>
      <c r="G15" s="208"/>
      <c r="H15" s="207" t="s">
        <v>107</v>
      </c>
    </row>
    <row r="16" spans="1:9" ht="42" customHeight="1" x14ac:dyDescent="0.25">
      <c r="A16" s="172"/>
      <c r="B16" s="174"/>
      <c r="C16" s="187"/>
      <c r="D16" s="177"/>
      <c r="E16" s="183"/>
      <c r="F16" s="20" t="s">
        <v>120</v>
      </c>
      <c r="G16" s="193"/>
      <c r="H16" s="203"/>
    </row>
    <row r="17" spans="1:8" ht="91" x14ac:dyDescent="0.25">
      <c r="A17" s="172"/>
      <c r="B17" s="182"/>
      <c r="C17" s="188"/>
      <c r="D17" s="201"/>
      <c r="E17" s="180"/>
      <c r="F17" s="20" t="s">
        <v>184</v>
      </c>
      <c r="G17" s="194"/>
      <c r="H17" s="204"/>
    </row>
    <row r="18" spans="1:8" ht="26" x14ac:dyDescent="0.25">
      <c r="A18" s="172"/>
      <c r="B18" s="186" t="s">
        <v>121</v>
      </c>
      <c r="C18" s="186" t="s">
        <v>122</v>
      </c>
      <c r="D18" s="176" t="s">
        <v>96</v>
      </c>
      <c r="E18" s="179">
        <v>0.9</v>
      </c>
      <c r="F18" s="12" t="s">
        <v>123</v>
      </c>
      <c r="G18" s="198"/>
      <c r="H18" s="186" t="s">
        <v>198</v>
      </c>
    </row>
    <row r="19" spans="1:8" ht="30" customHeight="1" x14ac:dyDescent="0.25">
      <c r="A19" s="172"/>
      <c r="B19" s="187"/>
      <c r="C19" s="187"/>
      <c r="D19" s="177"/>
      <c r="E19" s="183"/>
      <c r="F19" s="12" t="s">
        <v>124</v>
      </c>
      <c r="G19" s="193"/>
      <c r="H19" s="203"/>
    </row>
    <row r="20" spans="1:8" ht="31.5" customHeight="1" x14ac:dyDescent="0.25">
      <c r="A20" s="172"/>
      <c r="B20" s="187"/>
      <c r="C20" s="187"/>
      <c r="D20" s="177"/>
      <c r="E20" s="183"/>
      <c r="F20" s="12" t="s">
        <v>125</v>
      </c>
      <c r="G20" s="193"/>
      <c r="H20" s="203"/>
    </row>
    <row r="21" spans="1:8" ht="30" customHeight="1" x14ac:dyDescent="0.25">
      <c r="A21" s="172"/>
      <c r="B21" s="187"/>
      <c r="C21" s="187"/>
      <c r="D21" s="177"/>
      <c r="E21" s="183"/>
      <c r="F21" s="12" t="s">
        <v>126</v>
      </c>
      <c r="G21" s="193"/>
      <c r="H21" s="203"/>
    </row>
    <row r="22" spans="1:8" ht="33.75" customHeight="1" x14ac:dyDescent="0.25">
      <c r="A22" s="172"/>
      <c r="B22" s="188"/>
      <c r="C22" s="188"/>
      <c r="D22" s="201"/>
      <c r="E22" s="180"/>
      <c r="F22" s="12" t="s">
        <v>127</v>
      </c>
      <c r="G22" s="194"/>
      <c r="H22" s="204"/>
    </row>
    <row r="23" spans="1:8" ht="108" customHeight="1" x14ac:dyDescent="0.25">
      <c r="A23" s="172"/>
      <c r="B23" s="28" t="s">
        <v>128</v>
      </c>
      <c r="C23" s="33" t="s">
        <v>129</v>
      </c>
      <c r="D23" s="5" t="s">
        <v>96</v>
      </c>
      <c r="E23" s="41">
        <v>0.9</v>
      </c>
      <c r="F23" s="12" t="s">
        <v>130</v>
      </c>
      <c r="G23" s="47"/>
      <c r="H23" s="24" t="s">
        <v>131</v>
      </c>
    </row>
    <row r="24" spans="1:8" ht="30" customHeight="1" x14ac:dyDescent="0.25">
      <c r="A24" s="172"/>
      <c r="B24" s="186" t="s">
        <v>132</v>
      </c>
      <c r="C24" s="186" t="s">
        <v>133</v>
      </c>
      <c r="D24" s="176" t="s">
        <v>96</v>
      </c>
      <c r="E24" s="179">
        <v>0.9</v>
      </c>
      <c r="F24" s="12" t="s">
        <v>134</v>
      </c>
      <c r="G24" s="198"/>
      <c r="H24" s="186" t="s">
        <v>135</v>
      </c>
    </row>
    <row r="25" spans="1:8" ht="53.25" customHeight="1" x14ac:dyDescent="0.25">
      <c r="A25" s="172"/>
      <c r="B25" s="187"/>
      <c r="C25" s="187"/>
      <c r="D25" s="177"/>
      <c r="E25" s="183"/>
      <c r="F25" s="12" t="s">
        <v>136</v>
      </c>
      <c r="G25" s="199"/>
      <c r="H25" s="187"/>
    </row>
    <row r="26" spans="1:8" ht="127.5" customHeight="1" x14ac:dyDescent="0.25">
      <c r="A26" s="172"/>
      <c r="B26" s="187"/>
      <c r="C26" s="187"/>
      <c r="D26" s="177"/>
      <c r="E26" s="183"/>
      <c r="F26" s="12" t="s">
        <v>137</v>
      </c>
      <c r="G26" s="199"/>
      <c r="H26" s="187"/>
    </row>
    <row r="27" spans="1:8" ht="105" customHeight="1" x14ac:dyDescent="0.25">
      <c r="A27" s="172"/>
      <c r="B27" s="188"/>
      <c r="C27" s="188"/>
      <c r="D27" s="201"/>
      <c r="E27" s="180"/>
      <c r="F27" s="12" t="s">
        <v>138</v>
      </c>
      <c r="G27" s="200"/>
      <c r="H27" s="188"/>
    </row>
    <row r="28" spans="1:8" ht="79.5" customHeight="1" x14ac:dyDescent="0.25">
      <c r="A28" s="172"/>
      <c r="B28" s="28" t="s">
        <v>139</v>
      </c>
      <c r="C28" s="33" t="s">
        <v>140</v>
      </c>
      <c r="D28" s="5" t="s">
        <v>141</v>
      </c>
      <c r="E28" s="41">
        <v>0.5</v>
      </c>
      <c r="F28" s="12" t="s">
        <v>142</v>
      </c>
      <c r="G28" s="47"/>
      <c r="H28" s="24" t="s">
        <v>199</v>
      </c>
    </row>
    <row r="29" spans="1:8" ht="52" x14ac:dyDescent="0.25">
      <c r="A29" s="172"/>
      <c r="B29" s="185" t="s">
        <v>143</v>
      </c>
      <c r="C29" s="186" t="s">
        <v>144</v>
      </c>
      <c r="D29" s="176" t="s">
        <v>145</v>
      </c>
      <c r="E29" s="179">
        <v>0.7</v>
      </c>
      <c r="F29" s="12" t="s">
        <v>146</v>
      </c>
      <c r="G29" s="195"/>
      <c r="H29" s="186" t="s">
        <v>107</v>
      </c>
    </row>
    <row r="30" spans="1:8" ht="39" x14ac:dyDescent="0.25">
      <c r="A30" s="172"/>
      <c r="B30" s="174"/>
      <c r="C30" s="187"/>
      <c r="D30" s="177"/>
      <c r="E30" s="183"/>
      <c r="F30" s="38" t="s">
        <v>147</v>
      </c>
      <c r="G30" s="193"/>
      <c r="H30" s="187"/>
    </row>
    <row r="31" spans="1:8" ht="39" x14ac:dyDescent="0.25">
      <c r="A31" s="172"/>
      <c r="B31" s="174"/>
      <c r="C31" s="187"/>
      <c r="D31" s="177"/>
      <c r="E31" s="183"/>
      <c r="F31" s="38" t="s">
        <v>148</v>
      </c>
      <c r="G31" s="193"/>
      <c r="H31" s="187"/>
    </row>
    <row r="32" spans="1:8" ht="26" x14ac:dyDescent="0.25">
      <c r="A32" s="172"/>
      <c r="B32" s="174"/>
      <c r="C32" s="188"/>
      <c r="D32" s="201"/>
      <c r="E32" s="180"/>
      <c r="F32" s="38" t="s">
        <v>149</v>
      </c>
      <c r="G32" s="194"/>
      <c r="H32" s="188"/>
    </row>
    <row r="33" spans="1:8" ht="39" x14ac:dyDescent="0.25">
      <c r="A33" s="172"/>
      <c r="B33" s="174"/>
      <c r="C33" s="186" t="s">
        <v>150</v>
      </c>
      <c r="D33" s="176" t="s">
        <v>145</v>
      </c>
      <c r="E33" s="179">
        <v>0.7</v>
      </c>
      <c r="F33" s="12" t="s">
        <v>151</v>
      </c>
      <c r="G33" s="198"/>
      <c r="H33" s="186" t="s">
        <v>107</v>
      </c>
    </row>
    <row r="34" spans="1:8" ht="13.5" customHeight="1" x14ac:dyDescent="0.25">
      <c r="A34" s="172"/>
      <c r="B34" s="174"/>
      <c r="C34" s="187"/>
      <c r="D34" s="177"/>
      <c r="E34" s="183"/>
      <c r="F34" s="12" t="s">
        <v>152</v>
      </c>
      <c r="G34" s="193"/>
      <c r="H34" s="187"/>
    </row>
    <row r="35" spans="1:8" ht="26" x14ac:dyDescent="0.25">
      <c r="A35" s="172"/>
      <c r="B35" s="174"/>
      <c r="C35" s="187"/>
      <c r="D35" s="177"/>
      <c r="E35" s="183"/>
      <c r="F35" s="12" t="s">
        <v>153</v>
      </c>
      <c r="G35" s="193"/>
      <c r="H35" s="187"/>
    </row>
    <row r="36" spans="1:8" ht="26" x14ac:dyDescent="0.25">
      <c r="A36" s="173"/>
      <c r="B36" s="175"/>
      <c r="C36" s="189"/>
      <c r="D36" s="178"/>
      <c r="E36" s="184"/>
      <c r="F36" s="13" t="s">
        <v>154</v>
      </c>
      <c r="G36" s="206"/>
      <c r="H36" s="189"/>
    </row>
    <row r="37" spans="1:8" ht="39" x14ac:dyDescent="0.25">
      <c r="A37" s="190" t="s">
        <v>155</v>
      </c>
      <c r="B37" s="181" t="s">
        <v>156</v>
      </c>
      <c r="C37" s="32" t="s">
        <v>157</v>
      </c>
      <c r="D37" s="10" t="s">
        <v>145</v>
      </c>
      <c r="E37" s="52">
        <v>0.7</v>
      </c>
      <c r="F37" s="11" t="s">
        <v>158</v>
      </c>
      <c r="G37" s="48"/>
      <c r="H37" s="22" t="s">
        <v>107</v>
      </c>
    </row>
    <row r="38" spans="1:8" ht="39" x14ac:dyDescent="0.25">
      <c r="A38" s="172"/>
      <c r="B38" s="182"/>
      <c r="C38" s="33" t="s">
        <v>159</v>
      </c>
      <c r="D38" s="5" t="s">
        <v>145</v>
      </c>
      <c r="E38" s="41">
        <v>0.7</v>
      </c>
      <c r="F38" s="12" t="s">
        <v>160</v>
      </c>
      <c r="G38" s="47"/>
      <c r="H38" s="24" t="s">
        <v>107</v>
      </c>
    </row>
    <row r="39" spans="1:8" ht="30" customHeight="1" x14ac:dyDescent="0.25">
      <c r="A39" s="172"/>
      <c r="B39" s="185" t="s">
        <v>161</v>
      </c>
      <c r="C39" s="186" t="s">
        <v>162</v>
      </c>
      <c r="D39" s="176" t="s">
        <v>145</v>
      </c>
      <c r="E39" s="179">
        <v>0.7</v>
      </c>
      <c r="F39" s="12" t="s">
        <v>163</v>
      </c>
      <c r="G39" s="198"/>
      <c r="H39" s="186" t="s">
        <v>107</v>
      </c>
    </row>
    <row r="40" spans="1:8" ht="52.5" customHeight="1" x14ac:dyDescent="0.25">
      <c r="A40" s="172"/>
      <c r="B40" s="174"/>
      <c r="C40" s="188"/>
      <c r="D40" s="201"/>
      <c r="E40" s="180"/>
      <c r="F40" s="12" t="s">
        <v>164</v>
      </c>
      <c r="G40" s="194"/>
      <c r="H40" s="188"/>
    </row>
    <row r="41" spans="1:8" ht="26" x14ac:dyDescent="0.25">
      <c r="A41" s="172"/>
      <c r="B41" s="182"/>
      <c r="C41" s="33" t="s">
        <v>165</v>
      </c>
      <c r="D41" s="5" t="s">
        <v>96</v>
      </c>
      <c r="E41" s="41">
        <v>0.9</v>
      </c>
      <c r="F41" s="12" t="s">
        <v>166</v>
      </c>
      <c r="G41" s="47"/>
      <c r="H41" s="24" t="s">
        <v>107</v>
      </c>
    </row>
    <row r="42" spans="1:8" ht="39" x14ac:dyDescent="0.25">
      <c r="A42" s="172"/>
      <c r="B42" s="185" t="s">
        <v>167</v>
      </c>
      <c r="C42" s="186" t="s">
        <v>168</v>
      </c>
      <c r="D42" s="176" t="s">
        <v>96</v>
      </c>
      <c r="E42" s="179">
        <v>0.9</v>
      </c>
      <c r="F42" s="12" t="s">
        <v>169</v>
      </c>
      <c r="G42" s="198"/>
      <c r="H42" s="186" t="s">
        <v>107</v>
      </c>
    </row>
    <row r="43" spans="1:8" ht="13.5" customHeight="1" x14ac:dyDescent="0.25">
      <c r="A43" s="172"/>
      <c r="B43" s="174"/>
      <c r="C43" s="187"/>
      <c r="D43" s="177"/>
      <c r="E43" s="183"/>
      <c r="F43" s="12" t="s">
        <v>170</v>
      </c>
      <c r="G43" s="193"/>
      <c r="H43" s="187"/>
    </row>
    <row r="44" spans="1:8" ht="26" x14ac:dyDescent="0.25">
      <c r="A44" s="173"/>
      <c r="B44" s="175"/>
      <c r="C44" s="189"/>
      <c r="D44" s="178"/>
      <c r="E44" s="184"/>
      <c r="F44" s="13" t="s">
        <v>171</v>
      </c>
      <c r="G44" s="206"/>
      <c r="H44" s="189"/>
    </row>
    <row r="45" spans="1:8" ht="131.25" customHeight="1" x14ac:dyDescent="0.25">
      <c r="A45" s="172" t="s">
        <v>172</v>
      </c>
      <c r="B45" s="174" t="s">
        <v>173</v>
      </c>
      <c r="C45" s="35" t="s">
        <v>37</v>
      </c>
      <c r="D45" s="7" t="s">
        <v>145</v>
      </c>
      <c r="E45" s="40">
        <v>0.7</v>
      </c>
      <c r="F45" s="20" t="s">
        <v>174</v>
      </c>
      <c r="G45" s="49"/>
      <c r="H45" s="22" t="s">
        <v>175</v>
      </c>
    </row>
    <row r="46" spans="1:8" ht="58.5" customHeight="1" x14ac:dyDescent="0.25">
      <c r="A46" s="173"/>
      <c r="B46" s="175"/>
      <c r="C46" s="34" t="s">
        <v>176</v>
      </c>
      <c r="D46" s="6" t="s">
        <v>96</v>
      </c>
      <c r="E46" s="42">
        <v>0.9</v>
      </c>
      <c r="F46" s="13" t="s">
        <v>177</v>
      </c>
      <c r="G46" s="50"/>
      <c r="H46" s="31"/>
    </row>
  </sheetData>
  <mergeCells count="69">
    <mergeCell ref="I2:I4"/>
    <mergeCell ref="C4:C7"/>
    <mergeCell ref="E4:E7"/>
    <mergeCell ref="A2:A14"/>
    <mergeCell ref="B2:B7"/>
    <mergeCell ref="C2:C3"/>
    <mergeCell ref="E2:E3"/>
    <mergeCell ref="B8:B10"/>
    <mergeCell ref="C8:C10"/>
    <mergeCell ref="B11:B14"/>
    <mergeCell ref="C11:C14"/>
    <mergeCell ref="E11:E14"/>
    <mergeCell ref="H11:H14"/>
    <mergeCell ref="G11:G14"/>
    <mergeCell ref="D2:D3"/>
    <mergeCell ref="D4:D7"/>
    <mergeCell ref="C24:C27"/>
    <mergeCell ref="H15:H17"/>
    <mergeCell ref="B18:B22"/>
    <mergeCell ref="C18:C22"/>
    <mergeCell ref="E18:E22"/>
    <mergeCell ref="H18:H22"/>
    <mergeCell ref="D18:D22"/>
    <mergeCell ref="G15:G17"/>
    <mergeCell ref="G18:G22"/>
    <mergeCell ref="D15:D17"/>
    <mergeCell ref="H42:H44"/>
    <mergeCell ref="D39:D40"/>
    <mergeCell ref="D42:D44"/>
    <mergeCell ref="G42:G44"/>
    <mergeCell ref="B39:B41"/>
    <mergeCell ref="C39:C40"/>
    <mergeCell ref="D8:D10"/>
    <mergeCell ref="D11:D14"/>
    <mergeCell ref="H39:H40"/>
    <mergeCell ref="H24:H27"/>
    <mergeCell ref="E29:E32"/>
    <mergeCell ref="H29:H32"/>
    <mergeCell ref="E33:E36"/>
    <mergeCell ref="H33:H36"/>
    <mergeCell ref="E8:E10"/>
    <mergeCell ref="H8:H10"/>
    <mergeCell ref="E15:E17"/>
    <mergeCell ref="G33:G36"/>
    <mergeCell ref="G39:G40"/>
    <mergeCell ref="D24:D27"/>
    <mergeCell ref="D29:D32"/>
    <mergeCell ref="E24:E27"/>
    <mergeCell ref="H2:H7"/>
    <mergeCell ref="G4:G7"/>
    <mergeCell ref="G8:G10"/>
    <mergeCell ref="G24:G27"/>
    <mergeCell ref="G29:G32"/>
    <mergeCell ref="A45:A46"/>
    <mergeCell ref="B45:B46"/>
    <mergeCell ref="D33:D36"/>
    <mergeCell ref="E39:E40"/>
    <mergeCell ref="B37:B38"/>
    <mergeCell ref="E42:E44"/>
    <mergeCell ref="B29:B36"/>
    <mergeCell ref="C29:C32"/>
    <mergeCell ref="C33:C36"/>
    <mergeCell ref="A37:A44"/>
    <mergeCell ref="A15:A36"/>
    <mergeCell ref="B15:B17"/>
    <mergeCell ref="C15:C17"/>
    <mergeCell ref="B42:B44"/>
    <mergeCell ref="C42:C44"/>
    <mergeCell ref="B24:B27"/>
  </mergeCells>
  <phoneticPr fontId="2" type="noConversion"/>
  <pageMargins left="0.70866141732283472" right="0.70866141732283472" top="0.74803149606299213" bottom="0.74803149606299213" header="0.31496062992125984" footer="0.31496062992125984"/>
  <pageSetup paperSize="9" scale="69" orientation="landscape" r:id="rId1"/>
  <rowBreaks count="3" manualBreakCount="3">
    <brk id="14" max="7" man="1"/>
    <brk id="22" max="7" man="1"/>
    <brk id="36" max="7"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topLeftCell="C1" zoomScale="85" zoomScaleNormal="85" zoomScaleSheetLayoutView="85" workbookViewId="0">
      <pane ySplit="1" topLeftCell="A15" activePane="bottomLeft" state="frozen"/>
      <selection pane="bottomLeft" activeCell="C20" sqref="C20"/>
    </sheetView>
  </sheetViews>
  <sheetFormatPr defaultColWidth="8.9140625" defaultRowHeight="13" x14ac:dyDescent="0.25"/>
  <cols>
    <col min="1" max="1" width="8.08203125" style="1" bestFit="1" customWidth="1"/>
    <col min="2" max="2" width="16.6640625" style="3" bestFit="1" customWidth="1"/>
    <col min="3" max="3" width="45.08203125" style="3" customWidth="1"/>
    <col min="4" max="4" width="5.6640625" style="2" customWidth="1"/>
    <col min="5" max="5" width="42" style="1" customWidth="1"/>
    <col min="6" max="6" width="41.58203125" style="4" customWidth="1"/>
    <col min="7" max="7" width="41.9140625" style="4" customWidth="1"/>
    <col min="8" max="8" width="4.6640625" style="4" bestFit="1" customWidth="1"/>
    <col min="9" max="16384" width="8.9140625" style="1"/>
  </cols>
  <sheetData>
    <row r="1" spans="1:8" x14ac:dyDescent="0.25">
      <c r="A1" s="8" t="s">
        <v>0</v>
      </c>
      <c r="B1" s="9" t="s">
        <v>1</v>
      </c>
      <c r="C1" s="9" t="s">
        <v>2</v>
      </c>
      <c r="D1" s="8" t="s">
        <v>3</v>
      </c>
      <c r="E1" s="8" t="s">
        <v>39</v>
      </c>
      <c r="F1" s="8" t="s">
        <v>4</v>
      </c>
      <c r="G1" s="8" t="s">
        <v>73</v>
      </c>
      <c r="H1" s="8" t="s">
        <v>72</v>
      </c>
    </row>
    <row r="2" spans="1:8" ht="156" customHeight="1" x14ac:dyDescent="0.25">
      <c r="A2" s="190" t="s">
        <v>6</v>
      </c>
      <c r="B2" s="181" t="s">
        <v>5</v>
      </c>
      <c r="C2" s="32" t="s">
        <v>41</v>
      </c>
      <c r="D2" s="10" t="s">
        <v>13</v>
      </c>
      <c r="E2" s="11" t="s">
        <v>40</v>
      </c>
      <c r="F2" s="15" t="s">
        <v>47</v>
      </c>
      <c r="G2" s="15" t="s">
        <v>80</v>
      </c>
      <c r="H2" s="22"/>
    </row>
    <row r="3" spans="1:8" ht="241.5" customHeight="1" x14ac:dyDescent="0.25">
      <c r="A3" s="172"/>
      <c r="B3" s="182"/>
      <c r="C3" s="33" t="s">
        <v>43</v>
      </c>
      <c r="D3" s="5" t="s">
        <v>13</v>
      </c>
      <c r="E3" s="12" t="s">
        <v>42</v>
      </c>
      <c r="F3" s="16" t="s">
        <v>48</v>
      </c>
      <c r="G3" s="22" t="s">
        <v>81</v>
      </c>
      <c r="H3" s="23"/>
    </row>
    <row r="4" spans="1:8" ht="109.5" customHeight="1" x14ac:dyDescent="0.25">
      <c r="A4" s="172"/>
      <c r="B4" s="28" t="s">
        <v>7</v>
      </c>
      <c r="C4" s="33" t="s">
        <v>8</v>
      </c>
      <c r="D4" s="5" t="s">
        <v>13</v>
      </c>
      <c r="E4" s="12" t="s">
        <v>44</v>
      </c>
      <c r="F4" s="16" t="s">
        <v>48</v>
      </c>
      <c r="G4" s="23"/>
      <c r="H4" s="23"/>
    </row>
    <row r="5" spans="1:8" ht="114.75" customHeight="1" x14ac:dyDescent="0.25">
      <c r="A5" s="173"/>
      <c r="B5" s="29" t="s">
        <v>9</v>
      </c>
      <c r="C5" s="34" t="s">
        <v>10</v>
      </c>
      <c r="D5" s="6" t="s">
        <v>13</v>
      </c>
      <c r="E5" s="13" t="s">
        <v>45</v>
      </c>
      <c r="F5" s="14" t="s">
        <v>46</v>
      </c>
      <c r="G5" s="19" t="s">
        <v>79</v>
      </c>
      <c r="H5" s="19"/>
    </row>
    <row r="6" spans="1:8" ht="168" customHeight="1" x14ac:dyDescent="0.25">
      <c r="A6" s="190" t="s">
        <v>14</v>
      </c>
      <c r="B6" s="27" t="s">
        <v>11</v>
      </c>
      <c r="C6" s="32" t="s">
        <v>12</v>
      </c>
      <c r="D6" s="10" t="s">
        <v>13</v>
      </c>
      <c r="E6" s="11" t="s">
        <v>49</v>
      </c>
      <c r="F6" s="16" t="s">
        <v>48</v>
      </c>
      <c r="G6" s="36" t="s">
        <v>74</v>
      </c>
      <c r="H6" s="24"/>
    </row>
    <row r="7" spans="1:8" ht="142.5" customHeight="1" x14ac:dyDescent="0.25">
      <c r="A7" s="172"/>
      <c r="B7" s="28" t="s">
        <v>50</v>
      </c>
      <c r="C7" s="33" t="s">
        <v>15</v>
      </c>
      <c r="D7" s="5" t="s">
        <v>13</v>
      </c>
      <c r="E7" s="12" t="s">
        <v>51</v>
      </c>
      <c r="F7" s="16" t="s">
        <v>52</v>
      </c>
      <c r="G7" s="23" t="s">
        <v>74</v>
      </c>
      <c r="H7" s="25"/>
    </row>
    <row r="8" spans="1:8" ht="104.25" customHeight="1" x14ac:dyDescent="0.25">
      <c r="A8" s="172"/>
      <c r="B8" s="28" t="s">
        <v>16</v>
      </c>
      <c r="C8" s="33" t="s">
        <v>17</v>
      </c>
      <c r="D8" s="5" t="s">
        <v>13</v>
      </c>
      <c r="E8" s="12" t="s">
        <v>53</v>
      </c>
      <c r="F8" s="16" t="s">
        <v>48</v>
      </c>
      <c r="G8" s="24" t="s">
        <v>82</v>
      </c>
      <c r="H8" s="24"/>
    </row>
    <row r="9" spans="1:8" ht="338" x14ac:dyDescent="0.25">
      <c r="A9" s="172"/>
      <c r="B9" s="28" t="s">
        <v>18</v>
      </c>
      <c r="C9" s="33" t="s">
        <v>19</v>
      </c>
      <c r="D9" s="5" t="s">
        <v>13</v>
      </c>
      <c r="E9" s="12" t="s">
        <v>54</v>
      </c>
      <c r="F9" s="17" t="s">
        <v>55</v>
      </c>
      <c r="G9" s="24" t="s">
        <v>75</v>
      </c>
      <c r="H9" s="26"/>
    </row>
    <row r="10" spans="1:8" ht="61.5" customHeight="1" x14ac:dyDescent="0.25">
      <c r="A10" s="172"/>
      <c r="B10" s="28" t="s">
        <v>20</v>
      </c>
      <c r="C10" s="33" t="s">
        <v>21</v>
      </c>
      <c r="D10" s="5" t="s">
        <v>24</v>
      </c>
      <c r="E10" s="12" t="s">
        <v>56</v>
      </c>
      <c r="F10" s="16" t="s">
        <v>48</v>
      </c>
      <c r="G10" s="24" t="s">
        <v>76</v>
      </c>
      <c r="H10" s="26"/>
    </row>
    <row r="11" spans="1:8" ht="156" customHeight="1" x14ac:dyDescent="0.25">
      <c r="A11" s="172"/>
      <c r="B11" s="185" t="s">
        <v>22</v>
      </c>
      <c r="C11" s="33" t="s">
        <v>23</v>
      </c>
      <c r="D11" s="5" t="s">
        <v>25</v>
      </c>
      <c r="E11" s="12" t="s">
        <v>57</v>
      </c>
      <c r="F11" s="16" t="s">
        <v>48</v>
      </c>
      <c r="G11" s="24" t="s">
        <v>77</v>
      </c>
      <c r="H11" s="23"/>
    </row>
    <row r="12" spans="1:8" ht="108" customHeight="1" x14ac:dyDescent="0.25">
      <c r="A12" s="173"/>
      <c r="B12" s="175"/>
      <c r="C12" s="34" t="s">
        <v>83</v>
      </c>
      <c r="D12" s="6" t="s">
        <v>25</v>
      </c>
      <c r="E12" s="13" t="s">
        <v>58</v>
      </c>
      <c r="F12" s="18" t="s">
        <v>59</v>
      </c>
      <c r="G12" s="19" t="s">
        <v>77</v>
      </c>
      <c r="H12" s="19"/>
    </row>
    <row r="13" spans="1:8" ht="60" customHeight="1" x14ac:dyDescent="0.25">
      <c r="A13" s="190" t="s">
        <v>26</v>
      </c>
      <c r="B13" s="181" t="s">
        <v>27</v>
      </c>
      <c r="C13" s="32" t="s">
        <v>28</v>
      </c>
      <c r="D13" s="10" t="s">
        <v>25</v>
      </c>
      <c r="E13" s="11" t="s">
        <v>60</v>
      </c>
      <c r="F13" s="15" t="s">
        <v>62</v>
      </c>
      <c r="G13" s="22" t="s">
        <v>84</v>
      </c>
      <c r="H13" s="30"/>
    </row>
    <row r="14" spans="1:8" ht="45" customHeight="1" x14ac:dyDescent="0.25">
      <c r="A14" s="172"/>
      <c r="B14" s="182"/>
      <c r="C14" s="33" t="s">
        <v>29</v>
      </c>
      <c r="D14" s="5" t="s">
        <v>25</v>
      </c>
      <c r="E14" s="12" t="s">
        <v>61</v>
      </c>
      <c r="F14" s="17" t="s">
        <v>63</v>
      </c>
      <c r="G14" s="24" t="s">
        <v>85</v>
      </c>
      <c r="H14" s="24"/>
    </row>
    <row r="15" spans="1:8" ht="78" x14ac:dyDescent="0.25">
      <c r="A15" s="172"/>
      <c r="B15" s="185" t="s">
        <v>30</v>
      </c>
      <c r="C15" s="33" t="s">
        <v>31</v>
      </c>
      <c r="D15" s="5" t="s">
        <v>25</v>
      </c>
      <c r="E15" s="12" t="s">
        <v>64</v>
      </c>
      <c r="F15" s="16" t="s">
        <v>66</v>
      </c>
      <c r="G15" s="24" t="s">
        <v>77</v>
      </c>
      <c r="H15" s="24"/>
    </row>
    <row r="16" spans="1:8" ht="26" x14ac:dyDescent="0.25">
      <c r="A16" s="172"/>
      <c r="B16" s="182"/>
      <c r="C16" s="33" t="s">
        <v>32</v>
      </c>
      <c r="D16" s="5" t="s">
        <v>13</v>
      </c>
      <c r="E16" s="12" t="s">
        <v>65</v>
      </c>
      <c r="F16" s="16" t="s">
        <v>48</v>
      </c>
      <c r="G16" s="24" t="s">
        <v>77</v>
      </c>
      <c r="H16" s="23"/>
    </row>
    <row r="17" spans="1:8" ht="91.5" customHeight="1" x14ac:dyDescent="0.25">
      <c r="A17" s="173"/>
      <c r="B17" s="29" t="s">
        <v>33</v>
      </c>
      <c r="C17" s="34" t="s">
        <v>34</v>
      </c>
      <c r="D17" s="6" t="s">
        <v>13</v>
      </c>
      <c r="E17" s="13" t="s">
        <v>67</v>
      </c>
      <c r="F17" s="18" t="s">
        <v>59</v>
      </c>
      <c r="G17" s="19" t="s">
        <v>77</v>
      </c>
      <c r="H17" s="31"/>
    </row>
    <row r="18" spans="1:8" ht="409.5" x14ac:dyDescent="0.25">
      <c r="A18" s="172" t="s">
        <v>35</v>
      </c>
      <c r="B18" s="174" t="s">
        <v>36</v>
      </c>
      <c r="C18" s="35" t="s">
        <v>37</v>
      </c>
      <c r="D18" s="7" t="s">
        <v>25</v>
      </c>
      <c r="E18" s="20" t="s">
        <v>68</v>
      </c>
      <c r="F18" s="21" t="s">
        <v>69</v>
      </c>
      <c r="G18" s="22" t="s">
        <v>78</v>
      </c>
      <c r="H18" s="30"/>
    </row>
    <row r="19" spans="1:8" ht="65" x14ac:dyDescent="0.25">
      <c r="A19" s="173"/>
      <c r="B19" s="175"/>
      <c r="C19" s="34" t="s">
        <v>38</v>
      </c>
      <c r="D19" s="6" t="s">
        <v>13</v>
      </c>
      <c r="E19" s="13" t="s">
        <v>70</v>
      </c>
      <c r="F19" s="19" t="s">
        <v>71</v>
      </c>
      <c r="G19" s="31"/>
      <c r="H19" s="19"/>
    </row>
  </sheetData>
  <mergeCells count="9">
    <mergeCell ref="A18:A19"/>
    <mergeCell ref="B18:B19"/>
    <mergeCell ref="B2:B3"/>
    <mergeCell ref="A2:A5"/>
    <mergeCell ref="A6:A12"/>
    <mergeCell ref="A13:A17"/>
    <mergeCell ref="B13:B14"/>
    <mergeCell ref="B15:B16"/>
    <mergeCell ref="B11:B12"/>
  </mergeCells>
  <phoneticPr fontId="2" type="noConversion"/>
  <pageMargins left="0.19685039370078741" right="0.19685039370078741" top="0.46447916666666667" bottom="0.47244094488188981" header="0.28583333333333333" footer="0.39370078740157483"/>
  <pageSetup paperSize="9" scale="49" orientation="landscape" r:id="rId1"/>
  <headerFooter alignWithMargins="0">
    <oddHeader>&amp;C통합테스트결과서</oddHeader>
    <oddFooter>&amp;C&amp;"돋움,굵게"&amp;P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8"/>
  <sheetViews>
    <sheetView view="pageBreakPreview" zoomScaleNormal="100" zoomScaleSheetLayoutView="100" workbookViewId="0">
      <selection activeCell="H10" sqref="H10"/>
    </sheetView>
  </sheetViews>
  <sheetFormatPr defaultColWidth="8.9140625" defaultRowHeight="14" x14ac:dyDescent="0.25"/>
  <cols>
    <col min="1" max="16384" width="8.9140625" style="54"/>
  </cols>
  <sheetData>
    <row r="1" spans="1:13" ht="30" customHeight="1" x14ac:dyDescent="0.25">
      <c r="A1" s="213" t="s">
        <v>509</v>
      </c>
      <c r="B1" s="213"/>
      <c r="C1" s="213"/>
      <c r="D1" s="213"/>
      <c r="E1" s="213"/>
      <c r="F1" s="213"/>
      <c r="G1" s="213"/>
      <c r="H1" s="213"/>
      <c r="I1" s="213"/>
      <c r="J1" s="213"/>
      <c r="K1" s="213"/>
      <c r="L1" s="213"/>
      <c r="M1" s="213"/>
    </row>
    <row r="2" spans="1:13" ht="50.15" customHeight="1" x14ac:dyDescent="0.25">
      <c r="A2" s="214"/>
      <c r="B2" s="214"/>
      <c r="C2" s="214"/>
      <c r="D2" s="214"/>
      <c r="E2" s="214"/>
      <c r="F2" s="214"/>
      <c r="G2" s="214"/>
      <c r="H2" s="214"/>
      <c r="I2" s="214"/>
      <c r="J2" s="214"/>
      <c r="K2" s="214"/>
      <c r="L2" s="214"/>
      <c r="M2" s="214"/>
    </row>
    <row r="3" spans="1:13" ht="50.15" customHeight="1" thickBot="1" x14ac:dyDescent="0.3">
      <c r="A3" s="212" t="s">
        <v>510</v>
      </c>
      <c r="B3" s="212"/>
      <c r="C3" s="212"/>
      <c r="D3" s="212"/>
      <c r="E3" s="212"/>
      <c r="F3" s="212"/>
      <c r="G3" s="212"/>
      <c r="H3" s="212"/>
      <c r="I3" s="212"/>
      <c r="J3" s="212"/>
      <c r="K3" s="212"/>
      <c r="L3" s="212"/>
      <c r="M3" s="212"/>
    </row>
    <row r="4" spans="1:13" ht="70" customHeight="1" thickTop="1" thickBot="1" x14ac:dyDescent="0.3">
      <c r="A4" s="215" t="s">
        <v>480</v>
      </c>
      <c r="B4" s="215"/>
      <c r="C4" s="215"/>
      <c r="D4" s="215"/>
      <c r="E4" s="215"/>
      <c r="F4" s="215"/>
      <c r="G4" s="215"/>
      <c r="H4" s="215"/>
      <c r="I4" s="215"/>
      <c r="J4" s="215"/>
      <c r="K4" s="215"/>
      <c r="L4" s="215"/>
      <c r="M4" s="215"/>
    </row>
    <row r="5" spans="1:13" ht="50.15" customHeight="1" thickTop="1" x14ac:dyDescent="0.25">
      <c r="A5" s="216"/>
      <c r="B5" s="216"/>
      <c r="C5" s="216"/>
      <c r="D5" s="216"/>
      <c r="E5" s="216"/>
      <c r="F5" s="216"/>
      <c r="G5" s="216"/>
      <c r="H5" s="216"/>
      <c r="I5" s="216"/>
      <c r="J5" s="216"/>
      <c r="K5" s="216"/>
      <c r="L5" s="216"/>
      <c r="M5" s="216"/>
    </row>
    <row r="6" spans="1:13" ht="76" customHeight="1" x14ac:dyDescent="0.25">
      <c r="A6" s="212" t="s">
        <v>424</v>
      </c>
      <c r="B6" s="212"/>
      <c r="C6" s="212"/>
      <c r="D6" s="212"/>
      <c r="E6" s="212"/>
      <c r="F6" s="212"/>
      <c r="G6" s="212"/>
      <c r="H6" s="212"/>
      <c r="I6" s="212"/>
      <c r="J6" s="212"/>
      <c r="K6" s="212"/>
      <c r="L6" s="212"/>
      <c r="M6" s="212"/>
    </row>
    <row r="7" spans="1:13" ht="76" customHeight="1" x14ac:dyDescent="0.25">
      <c r="A7" s="211">
        <v>46001</v>
      </c>
      <c r="B7" s="212"/>
      <c r="C7" s="212"/>
      <c r="D7" s="212"/>
      <c r="E7" s="212"/>
      <c r="F7" s="212"/>
      <c r="G7" s="212"/>
      <c r="H7" s="212"/>
      <c r="I7" s="212"/>
      <c r="J7" s="212"/>
      <c r="K7" s="212"/>
      <c r="L7" s="212"/>
      <c r="M7" s="212"/>
    </row>
    <row r="8" spans="1:13" ht="76" customHeight="1" x14ac:dyDescent="0.25">
      <c r="A8" s="212"/>
      <c r="B8" s="212"/>
      <c r="C8" s="212"/>
      <c r="D8" s="212"/>
      <c r="E8" s="212"/>
      <c r="F8" s="212"/>
      <c r="G8" s="212"/>
      <c r="H8" s="212"/>
      <c r="I8" s="212"/>
      <c r="J8" s="212"/>
      <c r="K8" s="212"/>
      <c r="L8" s="212"/>
      <c r="M8" s="212"/>
    </row>
  </sheetData>
  <mergeCells count="8">
    <mergeCell ref="A7:M7"/>
    <mergeCell ref="A8:M8"/>
    <mergeCell ref="A1:M1"/>
    <mergeCell ref="A2:M2"/>
    <mergeCell ref="A3:M3"/>
    <mergeCell ref="A4:M4"/>
    <mergeCell ref="A5:M5"/>
    <mergeCell ref="A6:M6"/>
  </mergeCells>
  <phoneticPr fontId="2" type="noConversion"/>
  <printOptions horizontalCentered="1"/>
  <pageMargins left="0.59055118110236227" right="0.59055118110236227" top="0.78740157480314965" bottom="0.78740157480314965" header="0.39370078740157483" footer="0.39370078740157483"/>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1"/>
  <sheetViews>
    <sheetView view="pageLayout" zoomScaleNormal="100" zoomScaleSheetLayoutView="100" workbookViewId="0">
      <selection activeCell="D11" sqref="D11"/>
    </sheetView>
  </sheetViews>
  <sheetFormatPr defaultColWidth="8.9140625" defaultRowHeight="16" x14ac:dyDescent="0.25"/>
  <cols>
    <col min="1" max="1" width="7.4140625" style="55" customWidth="1"/>
    <col min="2" max="2" width="11" style="55" customWidth="1"/>
    <col min="3" max="3" width="12.08203125" style="55" customWidth="1"/>
    <col min="4" max="4" width="67.75" style="55" customWidth="1"/>
    <col min="5" max="5" width="8.4140625" style="55" customWidth="1"/>
    <col min="6" max="6" width="7.9140625" style="55" customWidth="1"/>
    <col min="7" max="16384" width="8.9140625" style="55"/>
  </cols>
  <sheetData>
    <row r="1" spans="1:6" ht="40" customHeight="1" x14ac:dyDescent="0.25">
      <c r="A1" s="217" t="s">
        <v>425</v>
      </c>
      <c r="B1" s="217"/>
      <c r="C1" s="217"/>
      <c r="D1" s="217"/>
      <c r="E1" s="217"/>
      <c r="F1" s="217"/>
    </row>
    <row r="2" spans="1:6" ht="18" customHeight="1" x14ac:dyDescent="0.25">
      <c r="A2" s="56" t="s">
        <v>204</v>
      </c>
      <c r="B2" s="56" t="s">
        <v>205</v>
      </c>
      <c r="C2" s="57" t="s">
        <v>426</v>
      </c>
      <c r="D2" s="57" t="s">
        <v>427</v>
      </c>
      <c r="E2" s="56" t="s">
        <v>206</v>
      </c>
      <c r="F2" s="56" t="s">
        <v>207</v>
      </c>
    </row>
    <row r="3" spans="1:6" ht="18" customHeight="1" x14ac:dyDescent="0.25">
      <c r="A3" s="58" t="s">
        <v>428</v>
      </c>
      <c r="B3" s="59">
        <v>46001</v>
      </c>
      <c r="C3" s="60" t="s">
        <v>429</v>
      </c>
      <c r="D3" s="61" t="s">
        <v>430</v>
      </c>
      <c r="E3" s="60" t="s">
        <v>513</v>
      </c>
      <c r="F3" s="60" t="s">
        <v>508</v>
      </c>
    </row>
    <row r="4" spans="1:6" ht="18" customHeight="1" x14ac:dyDescent="0.25">
      <c r="A4" s="58"/>
      <c r="B4" s="59"/>
      <c r="C4" s="58"/>
      <c r="D4" s="168"/>
      <c r="E4" s="58"/>
      <c r="F4" s="58"/>
    </row>
    <row r="5" spans="1:6" ht="71.25" customHeight="1" x14ac:dyDescent="0.25">
      <c r="A5" s="58"/>
      <c r="B5" s="59"/>
      <c r="C5" s="60"/>
      <c r="D5" s="61"/>
      <c r="E5" s="60"/>
      <c r="F5" s="60"/>
    </row>
    <row r="6" spans="1:6" ht="30" customHeight="1" thickBot="1" x14ac:dyDescent="0.3">
      <c r="A6" s="71"/>
      <c r="B6" s="72"/>
      <c r="C6" s="73"/>
      <c r="D6" s="74"/>
      <c r="E6" s="73"/>
      <c r="F6" s="73"/>
    </row>
    <row r="7" spans="1:6" ht="45" customHeight="1" thickTop="1" x14ac:dyDescent="0.25">
      <c r="A7" s="67"/>
      <c r="B7" s="68"/>
      <c r="C7" s="69"/>
      <c r="D7" s="70"/>
      <c r="E7" s="69"/>
      <c r="F7" s="69"/>
    </row>
    <row r="8" spans="1:6" ht="18" customHeight="1" x14ac:dyDescent="0.25">
      <c r="A8" s="62"/>
      <c r="B8" s="59"/>
      <c r="C8" s="60"/>
      <c r="D8" s="61"/>
      <c r="E8" s="60"/>
      <c r="F8" s="60"/>
    </row>
    <row r="9" spans="1:6" ht="18" customHeight="1" x14ac:dyDescent="0.25">
      <c r="A9" s="62"/>
      <c r="B9" s="59"/>
      <c r="C9" s="60"/>
      <c r="D9" s="61"/>
      <c r="E9" s="60"/>
      <c r="F9" s="60"/>
    </row>
    <row r="10" spans="1:6" ht="18" customHeight="1" x14ac:dyDescent="0.25">
      <c r="A10" s="62"/>
      <c r="B10" s="59"/>
      <c r="C10" s="60"/>
      <c r="D10" s="61"/>
      <c r="E10" s="60"/>
      <c r="F10" s="60"/>
    </row>
    <row r="11" spans="1:6" ht="18" customHeight="1" x14ac:dyDescent="0.25">
      <c r="A11" s="62"/>
      <c r="B11" s="59"/>
      <c r="C11" s="60"/>
      <c r="D11" s="61"/>
      <c r="E11" s="60"/>
      <c r="F11" s="60"/>
    </row>
    <row r="12" spans="1:6" ht="18" customHeight="1" x14ac:dyDescent="0.25">
      <c r="A12" s="62"/>
      <c r="B12" s="59"/>
      <c r="C12" s="60"/>
      <c r="D12" s="61"/>
      <c r="E12" s="60"/>
      <c r="F12" s="60"/>
    </row>
    <row r="13" spans="1:6" ht="18" customHeight="1" x14ac:dyDescent="0.25">
      <c r="A13" s="62"/>
      <c r="B13" s="59"/>
      <c r="C13" s="60"/>
      <c r="D13" s="61"/>
      <c r="E13" s="60"/>
      <c r="F13" s="60"/>
    </row>
    <row r="14" spans="1:6" ht="18" customHeight="1" x14ac:dyDescent="0.25">
      <c r="A14" s="62"/>
      <c r="B14" s="59"/>
      <c r="C14" s="60"/>
      <c r="D14" s="61"/>
      <c r="E14" s="60"/>
      <c r="F14" s="60"/>
    </row>
    <row r="15" spans="1:6" ht="18" customHeight="1" x14ac:dyDescent="0.25">
      <c r="A15" s="63"/>
      <c r="B15" s="64"/>
      <c r="C15" s="65"/>
      <c r="D15" s="65"/>
      <c r="E15" s="65"/>
      <c r="F15" s="65"/>
    </row>
    <row r="16" spans="1:6" ht="18" customHeight="1" x14ac:dyDescent="0.25">
      <c r="A16" s="62"/>
      <c r="B16" s="59"/>
      <c r="C16" s="60"/>
      <c r="D16" s="61"/>
      <c r="E16" s="60"/>
      <c r="F16" s="60"/>
    </row>
    <row r="17" spans="1:6" ht="18" customHeight="1" x14ac:dyDescent="0.25">
      <c r="A17" s="62"/>
      <c r="B17" s="59"/>
      <c r="C17" s="60"/>
      <c r="D17" s="61"/>
      <c r="E17" s="60"/>
      <c r="F17" s="60"/>
    </row>
    <row r="18" spans="1:6" ht="18" customHeight="1" x14ac:dyDescent="0.25">
      <c r="A18" s="63"/>
      <c r="B18" s="64"/>
      <c r="C18" s="65"/>
      <c r="D18" s="65"/>
      <c r="E18" s="65"/>
      <c r="F18" s="65"/>
    </row>
    <row r="20" spans="1:6" s="66" customFormat="1" ht="14.5" x14ac:dyDescent="0.25">
      <c r="A20" s="66" t="s">
        <v>208</v>
      </c>
    </row>
    <row r="21" spans="1:6" s="66" customFormat="1" ht="14.5" x14ac:dyDescent="0.25">
      <c r="A21" s="66" t="s">
        <v>209</v>
      </c>
    </row>
  </sheetData>
  <mergeCells count="1">
    <mergeCell ref="A1:F1"/>
  </mergeCells>
  <phoneticPr fontId="2" type="noConversion"/>
  <printOptions horizontalCentered="1"/>
  <pageMargins left="0.25" right="0.25" top="0.75" bottom="0.75" header="0.3" footer="0.3"/>
  <pageSetup paperSize="9" fitToHeight="0" orientation="landscape" r:id="rId1"/>
  <headerFooter>
    <oddHeader>&amp;L&amp;G&amp;R&amp;"+,보통"&amp;10&amp;F</oddHeader>
    <oddFooter>&amp;L&amp;"+,보통"&amp;10마이데이터 지원 플랫폼 구축(2차)&amp;R&amp;G</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0"/>
  <sheetViews>
    <sheetView view="pageLayout" zoomScaleNormal="100" zoomScaleSheetLayoutView="100" workbookViewId="0">
      <selection activeCell="C3" sqref="C3:C4"/>
    </sheetView>
  </sheetViews>
  <sheetFormatPr defaultColWidth="8.9140625" defaultRowHeight="18.75" customHeight="1" x14ac:dyDescent="0.25"/>
  <cols>
    <col min="1" max="1" width="5.58203125" style="55" customWidth="1"/>
    <col min="2" max="2" width="20" style="55" customWidth="1"/>
    <col min="3" max="3" width="66.6640625" style="55" customWidth="1"/>
    <col min="4" max="5" width="15" style="55" customWidth="1"/>
    <col min="6" max="6" width="16" style="55" customWidth="1"/>
    <col min="7" max="16384" width="8.9140625" style="55"/>
  </cols>
  <sheetData>
    <row r="1" spans="1:6" ht="45" customHeight="1" x14ac:dyDescent="0.25">
      <c r="A1" s="222" t="s">
        <v>398</v>
      </c>
      <c r="B1" s="222"/>
      <c r="C1" s="222"/>
      <c r="D1" s="222"/>
      <c r="E1" s="222"/>
      <c r="F1" s="76"/>
    </row>
    <row r="2" spans="1:6" ht="18.75" customHeight="1" x14ac:dyDescent="0.25">
      <c r="A2" s="77"/>
      <c r="B2" s="77" t="s">
        <v>431</v>
      </c>
      <c r="C2" s="77" t="s">
        <v>432</v>
      </c>
      <c r="D2" s="77" t="s">
        <v>433</v>
      </c>
      <c r="E2" s="107" t="s">
        <v>434</v>
      </c>
      <c r="F2" s="98" t="s">
        <v>481</v>
      </c>
    </row>
    <row r="3" spans="1:6" ht="37.5" customHeight="1" x14ac:dyDescent="0.25">
      <c r="A3" s="218">
        <v>1</v>
      </c>
      <c r="B3" s="106" t="s">
        <v>399</v>
      </c>
      <c r="C3" s="220" t="s">
        <v>406</v>
      </c>
      <c r="D3" s="218" t="s">
        <v>413</v>
      </c>
      <c r="E3" s="223" t="s">
        <v>420</v>
      </c>
      <c r="F3" s="110" t="s">
        <v>482</v>
      </c>
    </row>
    <row r="4" spans="1:6" ht="37.5" customHeight="1" x14ac:dyDescent="0.25">
      <c r="A4" s="219"/>
      <c r="B4" s="106" t="s">
        <v>479</v>
      </c>
      <c r="C4" s="221"/>
      <c r="D4" s="219"/>
      <c r="E4" s="224"/>
      <c r="F4" s="111" t="s">
        <v>483</v>
      </c>
    </row>
    <row r="5" spans="1:6" ht="37.5" customHeight="1" x14ac:dyDescent="0.25">
      <c r="A5" s="75">
        <v>2</v>
      </c>
      <c r="B5" s="106" t="s">
        <v>400</v>
      </c>
      <c r="C5" s="105" t="s">
        <v>407</v>
      </c>
      <c r="D5" s="75" t="s">
        <v>413</v>
      </c>
      <c r="E5" s="108" t="s">
        <v>420</v>
      </c>
      <c r="F5" s="111" t="s">
        <v>484</v>
      </c>
    </row>
    <row r="6" spans="1:6" ht="37.5" customHeight="1" x14ac:dyDescent="0.25">
      <c r="A6" s="75">
        <v>3</v>
      </c>
      <c r="B6" s="106" t="s">
        <v>401</v>
      </c>
      <c r="C6" s="105" t="s">
        <v>408</v>
      </c>
      <c r="D6" s="75" t="s">
        <v>414</v>
      </c>
      <c r="E6" s="108" t="s">
        <v>421</v>
      </c>
      <c r="F6" s="111"/>
    </row>
    <row r="7" spans="1:6" ht="37.5" customHeight="1" x14ac:dyDescent="0.25">
      <c r="A7" s="75">
        <v>4</v>
      </c>
      <c r="B7" s="106" t="s">
        <v>402</v>
      </c>
      <c r="C7" s="105" t="s">
        <v>412</v>
      </c>
      <c r="D7" s="75" t="s">
        <v>414</v>
      </c>
      <c r="E7" s="108" t="s">
        <v>422</v>
      </c>
      <c r="F7" s="111"/>
    </row>
    <row r="8" spans="1:6" ht="37.5" customHeight="1" x14ac:dyDescent="0.25">
      <c r="A8" s="75">
        <v>5</v>
      </c>
      <c r="B8" s="106" t="s">
        <v>403</v>
      </c>
      <c r="C8" s="105" t="s">
        <v>409</v>
      </c>
      <c r="D8" s="75" t="s">
        <v>413</v>
      </c>
      <c r="E8" s="109" t="s">
        <v>435</v>
      </c>
      <c r="F8" s="111"/>
    </row>
    <row r="9" spans="1:6" ht="37.5" customHeight="1" x14ac:dyDescent="0.25">
      <c r="A9" s="75">
        <v>6</v>
      </c>
      <c r="B9" s="106" t="s">
        <v>404</v>
      </c>
      <c r="C9" s="105" t="s">
        <v>410</v>
      </c>
      <c r="D9" s="75" t="s">
        <v>415</v>
      </c>
      <c r="E9" s="108" t="s">
        <v>423</v>
      </c>
      <c r="F9" s="111"/>
    </row>
    <row r="10" spans="1:6" ht="37.5" customHeight="1" x14ac:dyDescent="0.25">
      <c r="A10" s="75">
        <v>7</v>
      </c>
      <c r="B10" s="106" t="s">
        <v>405</v>
      </c>
      <c r="C10" s="105" t="s">
        <v>411</v>
      </c>
      <c r="D10" s="75" t="s">
        <v>416</v>
      </c>
      <c r="E10" s="108" t="s">
        <v>423</v>
      </c>
      <c r="F10" s="111"/>
    </row>
  </sheetData>
  <mergeCells count="5">
    <mergeCell ref="A3:A4"/>
    <mergeCell ref="C3:C4"/>
    <mergeCell ref="A1:E1"/>
    <mergeCell ref="D3:D4"/>
    <mergeCell ref="E3:E4"/>
  </mergeCells>
  <phoneticPr fontId="21" type="noConversion"/>
  <hyperlinks>
    <hyperlink ref="B3" location="'1.호환성'!A1" display="웹사이트 호환성" xr:uid="{00000000-0004-0000-0400-000000000000}"/>
    <hyperlink ref="B4" location="'1.호환성(모바일)'!A1" display="웹사이트 호환성(모바일)" xr:uid="{00000000-0004-0000-0400-000001000000}"/>
    <hyperlink ref="B5" location="'2.접근성'!A1" display="웹사이트 접근성" xr:uid="{00000000-0004-0000-0400-000002000000}"/>
    <hyperlink ref="B6" location="'3.개방성'!A1" display="웹사이트 개방성" xr:uid="{00000000-0004-0000-0400-000003000000}"/>
    <hyperlink ref="B7" location="'4.접속성'!A1" display="웹사이트 접속성" xr:uid="{00000000-0004-0000-0400-000004000000}"/>
    <hyperlink ref="B8" location="'5.편의성'!A1" display="웹사이트 편의성" xr:uid="{00000000-0004-0000-0400-000005000000}"/>
    <hyperlink ref="B9" location="'6.효율성'!A1" display="웹사이트 효율성" xr:uid="{00000000-0004-0000-0400-000006000000}"/>
    <hyperlink ref="B10" location="'7.신뢰성'!A1" display="웹사이트 신뢰성" xr:uid="{00000000-0004-0000-0400-000007000000}"/>
  </hyperlinks>
  <printOptions horizontalCentered="1"/>
  <pageMargins left="0.25" right="0.25" top="0.75" bottom="0.75" header="0.3" footer="0.3"/>
  <pageSetup paperSize="9" scale="89" fitToHeight="0" orientation="landscape" r:id="rId1"/>
  <headerFooter>
    <oddHeader>&amp;L&amp;G&amp;R&amp;"+,보통"&amp;10&amp;F</oddHeader>
    <oddFooter>&amp;L&amp;"+,보통"&amp;10마이데이터 지원 플랫폼 구축(2차)&amp;R&amp;G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99"/>
  <sheetViews>
    <sheetView view="pageLayout" zoomScaleNormal="85" zoomScaleSheetLayoutView="100" workbookViewId="0">
      <selection activeCell="A2" sqref="A2:C3"/>
    </sheetView>
  </sheetViews>
  <sheetFormatPr defaultColWidth="1.25" defaultRowHeight="16" x14ac:dyDescent="0.25"/>
  <cols>
    <col min="1" max="1" width="10.58203125" style="78" customWidth="1"/>
    <col min="2" max="2" width="16.6640625" style="85" customWidth="1"/>
    <col min="3" max="3" width="38.9140625" style="78" customWidth="1"/>
    <col min="4" max="16" width="4.33203125" style="78" customWidth="1"/>
    <col min="17" max="20" width="7.75" style="78" customWidth="1"/>
    <col min="21" max="16384" width="1.25" style="78"/>
  </cols>
  <sheetData>
    <row r="1" spans="1:20" s="96" customFormat="1" ht="45" customHeight="1" thickBot="1" x14ac:dyDescent="0.3">
      <c r="A1" s="222" t="s">
        <v>533</v>
      </c>
      <c r="B1" s="222"/>
      <c r="C1" s="222"/>
      <c r="D1" s="222"/>
      <c r="E1" s="222"/>
      <c r="F1" s="222"/>
      <c r="G1" s="222"/>
      <c r="H1" s="222"/>
      <c r="I1" s="222"/>
      <c r="J1" s="222"/>
      <c r="K1" s="222"/>
      <c r="L1" s="222"/>
      <c r="M1" s="222"/>
      <c r="N1" s="222"/>
      <c r="O1" s="222"/>
      <c r="P1" s="222"/>
      <c r="Q1" s="222"/>
      <c r="R1" s="222"/>
      <c r="S1" s="222"/>
      <c r="T1" s="222"/>
    </row>
    <row r="2" spans="1:20" s="116" customFormat="1" ht="19.5" customHeight="1" x14ac:dyDescent="0.25">
      <c r="A2" s="234" t="s">
        <v>503</v>
      </c>
      <c r="B2" s="234"/>
      <c r="C2" s="234"/>
      <c r="D2" s="243" t="s">
        <v>528</v>
      </c>
      <c r="E2" s="244"/>
      <c r="F2" s="244"/>
      <c r="G2" s="244"/>
      <c r="H2" s="244"/>
      <c r="I2" s="244"/>
      <c r="J2" s="244"/>
      <c r="K2" s="244"/>
      <c r="L2" s="245"/>
      <c r="M2" s="239" t="s">
        <v>485</v>
      </c>
      <c r="N2" s="241" t="s">
        <v>486</v>
      </c>
      <c r="O2" s="235" t="s">
        <v>178</v>
      </c>
      <c r="P2" s="237" t="s">
        <v>487</v>
      </c>
    </row>
    <row r="3" spans="1:20" ht="101.25" customHeight="1" thickBot="1" x14ac:dyDescent="0.3">
      <c r="A3" s="234"/>
      <c r="B3" s="234"/>
      <c r="C3" s="234"/>
      <c r="D3" s="117" t="s">
        <v>514</v>
      </c>
      <c r="E3" s="117" t="s">
        <v>521</v>
      </c>
      <c r="F3" s="117" t="s">
        <v>522</v>
      </c>
      <c r="G3" s="117" t="s">
        <v>523</v>
      </c>
      <c r="H3" s="117" t="s">
        <v>524</v>
      </c>
      <c r="I3" s="117" t="s">
        <v>525</v>
      </c>
      <c r="J3" s="117" t="s">
        <v>527</v>
      </c>
      <c r="K3" s="117" t="s">
        <v>526</v>
      </c>
      <c r="L3" s="117" t="s">
        <v>545</v>
      </c>
      <c r="M3" s="240"/>
      <c r="N3" s="242"/>
      <c r="O3" s="236"/>
      <c r="P3" s="238"/>
    </row>
    <row r="4" spans="1:20" ht="52.5" customHeight="1" x14ac:dyDescent="0.25">
      <c r="A4" s="232" t="s">
        <v>465</v>
      </c>
      <c r="B4" s="227" t="s">
        <v>519</v>
      </c>
      <c r="C4" s="81" t="s">
        <v>511</v>
      </c>
      <c r="D4" s="104" t="s">
        <v>502</v>
      </c>
      <c r="E4" s="104" t="s">
        <v>502</v>
      </c>
      <c r="F4" s="104" t="s">
        <v>502</v>
      </c>
      <c r="G4" s="104" t="s">
        <v>502</v>
      </c>
      <c r="H4" s="104" t="s">
        <v>502</v>
      </c>
      <c r="I4" s="104" t="s">
        <v>502</v>
      </c>
      <c r="J4" s="104" t="s">
        <v>502</v>
      </c>
      <c r="K4" s="104" t="s">
        <v>502</v>
      </c>
      <c r="L4" s="104" t="s">
        <v>502</v>
      </c>
      <c r="M4" s="121">
        <f t="shared" ref="M4:M12" si="0">COUNTIF(D4:L4,"P")</f>
        <v>9</v>
      </c>
      <c r="N4" s="122">
        <f t="shared" ref="N4:N12" si="1">COUNTIF(D4:L4,"F")</f>
        <v>0</v>
      </c>
      <c r="O4" s="123">
        <f t="shared" ref="O4:O12" si="2">COUNTIF(D4:L4,"N/A")</f>
        <v>0</v>
      </c>
      <c r="P4" s="126">
        <f>IF((M4+N4)=0,"N/A",M4/(M4+N4))</f>
        <v>1</v>
      </c>
    </row>
    <row r="5" spans="1:20" ht="52.5" customHeight="1" x14ac:dyDescent="0.25">
      <c r="A5" s="232"/>
      <c r="B5" s="228"/>
      <c r="C5" s="81" t="s">
        <v>489</v>
      </c>
      <c r="D5" s="104" t="s">
        <v>502</v>
      </c>
      <c r="E5" s="104" t="s">
        <v>502</v>
      </c>
      <c r="F5" s="104" t="s">
        <v>502</v>
      </c>
      <c r="G5" s="104" t="s">
        <v>502</v>
      </c>
      <c r="H5" s="104" t="s">
        <v>502</v>
      </c>
      <c r="I5" s="104" t="s">
        <v>502</v>
      </c>
      <c r="J5" s="104" t="s">
        <v>502</v>
      </c>
      <c r="K5" s="104" t="s">
        <v>502</v>
      </c>
      <c r="L5" s="104" t="s">
        <v>502</v>
      </c>
      <c r="M5" s="121">
        <f t="shared" si="0"/>
        <v>9</v>
      </c>
      <c r="N5" s="119">
        <f t="shared" si="1"/>
        <v>0</v>
      </c>
      <c r="O5" s="124">
        <f t="shared" si="2"/>
        <v>0</v>
      </c>
      <c r="P5" s="126">
        <f t="shared" ref="P5:P12" si="3">IF((M5+N5)=0,"N/A",M5/(M5+N5))</f>
        <v>1</v>
      </c>
    </row>
    <row r="6" spans="1:20" ht="52.5" customHeight="1" x14ac:dyDescent="0.25">
      <c r="A6" s="232"/>
      <c r="B6" s="113" t="s">
        <v>494</v>
      </c>
      <c r="C6" s="81" t="s">
        <v>490</v>
      </c>
      <c r="D6" s="104" t="s">
        <v>502</v>
      </c>
      <c r="E6" s="104" t="s">
        <v>502</v>
      </c>
      <c r="F6" s="104" t="s">
        <v>502</v>
      </c>
      <c r="G6" s="104" t="s">
        <v>502</v>
      </c>
      <c r="H6" s="104" t="s">
        <v>502</v>
      </c>
      <c r="I6" s="104" t="s">
        <v>502</v>
      </c>
      <c r="J6" s="104" t="s">
        <v>502</v>
      </c>
      <c r="K6" s="104" t="s">
        <v>502</v>
      </c>
      <c r="L6" s="104" t="s">
        <v>502</v>
      </c>
      <c r="M6" s="121">
        <f t="shared" si="0"/>
        <v>9</v>
      </c>
      <c r="N6" s="119">
        <f t="shared" si="1"/>
        <v>0</v>
      </c>
      <c r="O6" s="124">
        <f t="shared" si="2"/>
        <v>0</v>
      </c>
      <c r="P6" s="126">
        <f t="shared" si="3"/>
        <v>1</v>
      </c>
    </row>
    <row r="7" spans="1:20" ht="52.5" customHeight="1" x14ac:dyDescent="0.25">
      <c r="A7" s="232"/>
      <c r="B7" s="113" t="s">
        <v>529</v>
      </c>
      <c r="C7" s="81" t="s">
        <v>530</v>
      </c>
      <c r="D7" s="104" t="s">
        <v>502</v>
      </c>
      <c r="E7" s="104" t="s">
        <v>502</v>
      </c>
      <c r="F7" s="104" t="s">
        <v>502</v>
      </c>
      <c r="G7" s="104" t="s">
        <v>502</v>
      </c>
      <c r="H7" s="104" t="s">
        <v>502</v>
      </c>
      <c r="I7" s="104" t="s">
        <v>502</v>
      </c>
      <c r="J7" s="104" t="s">
        <v>502</v>
      </c>
      <c r="K7" s="104" t="s">
        <v>502</v>
      </c>
      <c r="L7" s="104" t="s">
        <v>502</v>
      </c>
      <c r="M7" s="121">
        <f t="shared" si="0"/>
        <v>9</v>
      </c>
      <c r="N7" s="119">
        <f t="shared" si="1"/>
        <v>0</v>
      </c>
      <c r="O7" s="124">
        <f t="shared" si="2"/>
        <v>0</v>
      </c>
      <c r="P7" s="126">
        <f t="shared" si="3"/>
        <v>1</v>
      </c>
    </row>
    <row r="8" spans="1:20" ht="52.5" customHeight="1" x14ac:dyDescent="0.25">
      <c r="A8" s="232"/>
      <c r="B8" s="113" t="s">
        <v>496</v>
      </c>
      <c r="C8" s="81" t="s">
        <v>531</v>
      </c>
      <c r="D8" s="104" t="s">
        <v>502</v>
      </c>
      <c r="E8" s="104" t="s">
        <v>502</v>
      </c>
      <c r="F8" s="104" t="s">
        <v>502</v>
      </c>
      <c r="G8" s="104" t="s">
        <v>502</v>
      </c>
      <c r="H8" s="104" t="s">
        <v>502</v>
      </c>
      <c r="I8" s="104" t="s">
        <v>502</v>
      </c>
      <c r="J8" s="104" t="s">
        <v>502</v>
      </c>
      <c r="K8" s="104" t="s">
        <v>502</v>
      </c>
      <c r="L8" s="104" t="s">
        <v>502</v>
      </c>
      <c r="M8" s="121">
        <f t="shared" si="0"/>
        <v>9</v>
      </c>
      <c r="N8" s="119">
        <f t="shared" si="1"/>
        <v>0</v>
      </c>
      <c r="O8" s="124">
        <f t="shared" si="2"/>
        <v>0</v>
      </c>
      <c r="P8" s="126">
        <f t="shared" si="3"/>
        <v>1</v>
      </c>
    </row>
    <row r="9" spans="1:20" ht="108.75" customHeight="1" x14ac:dyDescent="0.25">
      <c r="A9" s="233"/>
      <c r="B9" s="114" t="s">
        <v>497</v>
      </c>
      <c r="C9" s="81" t="s">
        <v>532</v>
      </c>
      <c r="D9" s="104" t="s">
        <v>502</v>
      </c>
      <c r="E9" s="104" t="s">
        <v>502</v>
      </c>
      <c r="F9" s="104" t="s">
        <v>502</v>
      </c>
      <c r="G9" s="104" t="s">
        <v>502</v>
      </c>
      <c r="H9" s="104" t="s">
        <v>502</v>
      </c>
      <c r="I9" s="104" t="s">
        <v>502</v>
      </c>
      <c r="J9" s="104" t="s">
        <v>502</v>
      </c>
      <c r="K9" s="104" t="s">
        <v>502</v>
      </c>
      <c r="L9" s="104" t="s">
        <v>502</v>
      </c>
      <c r="M9" s="121">
        <f t="shared" si="0"/>
        <v>9</v>
      </c>
      <c r="N9" s="119">
        <f t="shared" si="1"/>
        <v>0</v>
      </c>
      <c r="O9" s="124">
        <f t="shared" si="2"/>
        <v>0</v>
      </c>
      <c r="P9" s="126">
        <f t="shared" si="3"/>
        <v>1</v>
      </c>
    </row>
    <row r="10" spans="1:20" ht="52.5" customHeight="1" x14ac:dyDescent="0.25">
      <c r="A10" s="229" t="s">
        <v>466</v>
      </c>
      <c r="B10" s="225" t="s">
        <v>498</v>
      </c>
      <c r="C10" s="81" t="s">
        <v>520</v>
      </c>
      <c r="D10" s="104" t="s">
        <v>502</v>
      </c>
      <c r="E10" s="104" t="s">
        <v>502</v>
      </c>
      <c r="F10" s="104" t="s">
        <v>502</v>
      </c>
      <c r="G10" s="104" t="s">
        <v>502</v>
      </c>
      <c r="H10" s="104" t="s">
        <v>502</v>
      </c>
      <c r="I10" s="104" t="s">
        <v>502</v>
      </c>
      <c r="J10" s="104" t="s">
        <v>502</v>
      </c>
      <c r="K10" s="104" t="s">
        <v>502</v>
      </c>
      <c r="L10" s="104" t="s">
        <v>502</v>
      </c>
      <c r="M10" s="121">
        <f t="shared" si="0"/>
        <v>9</v>
      </c>
      <c r="N10" s="119">
        <f t="shared" si="1"/>
        <v>0</v>
      </c>
      <c r="O10" s="124">
        <f t="shared" si="2"/>
        <v>0</v>
      </c>
      <c r="P10" s="126">
        <f t="shared" si="3"/>
        <v>1</v>
      </c>
    </row>
    <row r="11" spans="1:20" ht="52.5" customHeight="1" x14ac:dyDescent="0.25">
      <c r="A11" s="230"/>
      <c r="B11" s="226"/>
      <c r="C11" s="81" t="s">
        <v>500</v>
      </c>
      <c r="D11" s="104" t="s">
        <v>502</v>
      </c>
      <c r="E11" s="104" t="s">
        <v>502</v>
      </c>
      <c r="F11" s="104" t="s">
        <v>502</v>
      </c>
      <c r="G11" s="104" t="s">
        <v>502</v>
      </c>
      <c r="H11" s="104" t="s">
        <v>502</v>
      </c>
      <c r="I11" s="104" t="s">
        <v>502</v>
      </c>
      <c r="J11" s="104" t="s">
        <v>502</v>
      </c>
      <c r="K11" s="104" t="s">
        <v>502</v>
      </c>
      <c r="L11" s="104" t="s">
        <v>502</v>
      </c>
      <c r="M11" s="121">
        <f t="shared" si="0"/>
        <v>9</v>
      </c>
      <c r="N11" s="119">
        <f t="shared" si="1"/>
        <v>0</v>
      </c>
      <c r="O11" s="124">
        <f t="shared" si="2"/>
        <v>0</v>
      </c>
      <c r="P11" s="126">
        <f t="shared" si="3"/>
        <v>1</v>
      </c>
    </row>
    <row r="12" spans="1:20" ht="52.5" customHeight="1" thickBot="1" x14ac:dyDescent="0.3">
      <c r="A12" s="231"/>
      <c r="B12" s="115" t="s">
        <v>499</v>
      </c>
      <c r="C12" s="81" t="s">
        <v>512</v>
      </c>
      <c r="D12" s="104" t="s">
        <v>502</v>
      </c>
      <c r="E12" s="104" t="s">
        <v>502</v>
      </c>
      <c r="F12" s="104" t="s">
        <v>502</v>
      </c>
      <c r="G12" s="104" t="s">
        <v>502</v>
      </c>
      <c r="H12" s="104" t="s">
        <v>502</v>
      </c>
      <c r="I12" s="104" t="s">
        <v>502</v>
      </c>
      <c r="J12" s="104" t="s">
        <v>502</v>
      </c>
      <c r="K12" s="104" t="s">
        <v>502</v>
      </c>
      <c r="L12" s="104" t="s">
        <v>502</v>
      </c>
      <c r="M12" s="121">
        <f t="shared" si="0"/>
        <v>9</v>
      </c>
      <c r="N12" s="120">
        <f t="shared" si="1"/>
        <v>0</v>
      </c>
      <c r="O12" s="125">
        <f t="shared" si="2"/>
        <v>0</v>
      </c>
      <c r="P12" s="126">
        <f t="shared" si="3"/>
        <v>1</v>
      </c>
    </row>
    <row r="13" spans="1:20" ht="19.5" customHeight="1" x14ac:dyDescent="0.25"/>
    <row r="14" spans="1:20" ht="19.5" customHeight="1" x14ac:dyDescent="0.25"/>
    <row r="15" spans="1:20" ht="19.5" customHeight="1" x14ac:dyDescent="0.25"/>
    <row r="16" spans="1:20" ht="19.5" customHeight="1" x14ac:dyDescent="0.25"/>
    <row r="17" ht="19.5" customHeight="1" x14ac:dyDescent="0.25"/>
    <row r="18" ht="19.5" customHeight="1" x14ac:dyDescent="0.25"/>
    <row r="19" ht="19.5" customHeight="1" x14ac:dyDescent="0.25"/>
    <row r="20" ht="19.5" customHeight="1" x14ac:dyDescent="0.25"/>
    <row r="21" ht="19.5" customHeight="1" x14ac:dyDescent="0.25"/>
    <row r="22" ht="19.5" customHeight="1" x14ac:dyDescent="0.25"/>
    <row r="23" ht="19.5" customHeight="1" x14ac:dyDescent="0.25"/>
    <row r="24" ht="19.5" customHeight="1" x14ac:dyDescent="0.25"/>
    <row r="25" ht="19.5" customHeight="1" x14ac:dyDescent="0.25"/>
    <row r="26" ht="19.5" customHeight="1" x14ac:dyDescent="0.25"/>
    <row r="27" ht="19.5" customHeight="1" x14ac:dyDescent="0.25"/>
    <row r="28" ht="19.5" customHeight="1" x14ac:dyDescent="0.25"/>
    <row r="29" ht="19.5" customHeight="1" x14ac:dyDescent="0.25"/>
    <row r="30" ht="19.5" customHeight="1" x14ac:dyDescent="0.25"/>
    <row r="31" ht="19.5" customHeight="1" x14ac:dyDescent="0.25"/>
    <row r="32"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sheetData>
  <mergeCells count="11">
    <mergeCell ref="A1:T1"/>
    <mergeCell ref="O2:O3"/>
    <mergeCell ref="P2:P3"/>
    <mergeCell ref="M2:M3"/>
    <mergeCell ref="N2:N3"/>
    <mergeCell ref="D2:L2"/>
    <mergeCell ref="B10:B11"/>
    <mergeCell ref="B4:B5"/>
    <mergeCell ref="A10:A12"/>
    <mergeCell ref="A4:A9"/>
    <mergeCell ref="A2:C3"/>
  </mergeCells>
  <phoneticPr fontId="2" type="noConversion"/>
  <printOptions horizontalCentered="1"/>
  <pageMargins left="0.25" right="0.25" top="0.75" bottom="0.75" header="0.3" footer="0.3"/>
  <pageSetup paperSize="9" scale="80" fitToHeight="0" orientation="landscape" r:id="rId1"/>
  <headerFooter>
    <oddHeader>&amp;L&amp;G&amp;R&amp;"+,보통"&amp;10&amp;F</oddHeader>
    <oddFooter>&amp;L&amp;"+,보통"&amp;10마이데이터 지원 플랫폼 구축(2차)&amp;R&amp;G</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구분선택!$A$1:$A$3</xm:f>
          </x14:formula1>
          <xm:sqref>D4:L12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111"/>
  <sheetViews>
    <sheetView view="pageLayout" zoomScaleNormal="85" zoomScaleSheetLayoutView="100" workbookViewId="0">
      <selection activeCell="M6" sqref="M6"/>
    </sheetView>
  </sheetViews>
  <sheetFormatPr defaultColWidth="3.08203125" defaultRowHeight="16" x14ac:dyDescent="0.25"/>
  <cols>
    <col min="1" max="1" width="10.58203125" style="78" customWidth="1"/>
    <col min="2" max="2" width="16.6640625" style="85" customWidth="1"/>
    <col min="3" max="3" width="38.9140625" style="78" customWidth="1"/>
    <col min="4" max="27" width="4.33203125" style="78" customWidth="1"/>
    <col min="28" max="31" width="7.75" style="78" customWidth="1"/>
    <col min="32" max="16384" width="3.08203125" style="78"/>
  </cols>
  <sheetData>
    <row r="1" spans="1:31" s="96" customFormat="1" ht="45" customHeight="1" thickBot="1" x14ac:dyDescent="0.3">
      <c r="A1" s="222" t="s">
        <v>467</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row>
    <row r="2" spans="1:31" s="116" customFormat="1" ht="19.5" customHeight="1" x14ac:dyDescent="0.25">
      <c r="A2" s="234" t="s">
        <v>503</v>
      </c>
      <c r="B2" s="234"/>
      <c r="C2" s="234"/>
      <c r="D2" s="243" t="s">
        <v>560</v>
      </c>
      <c r="E2" s="244"/>
      <c r="F2" s="244"/>
      <c r="G2" s="244"/>
      <c r="H2" s="244"/>
      <c r="I2" s="244"/>
      <c r="J2" s="244"/>
      <c r="K2" s="244"/>
      <c r="L2" s="244"/>
      <c r="M2" s="244"/>
      <c r="N2" s="244"/>
      <c r="O2" s="244"/>
      <c r="P2" s="244"/>
      <c r="Q2" s="244"/>
      <c r="R2" s="244"/>
      <c r="S2" s="244"/>
      <c r="T2" s="244"/>
      <c r="U2" s="244"/>
      <c r="V2" s="244"/>
      <c r="W2" s="244"/>
      <c r="X2" s="244"/>
      <c r="Y2" s="244"/>
      <c r="Z2" s="244"/>
      <c r="AA2" s="244"/>
      <c r="AB2" s="246" t="s">
        <v>485</v>
      </c>
      <c r="AC2" s="248" t="s">
        <v>486</v>
      </c>
      <c r="AD2" s="250" t="s">
        <v>178</v>
      </c>
      <c r="AE2" s="252" t="s">
        <v>487</v>
      </c>
    </row>
    <row r="3" spans="1:31" ht="101.25" customHeight="1" thickBot="1" x14ac:dyDescent="0.3">
      <c r="A3" s="234"/>
      <c r="B3" s="234"/>
      <c r="C3" s="234"/>
      <c r="D3" s="117" t="s">
        <v>547</v>
      </c>
      <c r="E3" s="117" t="s">
        <v>522</v>
      </c>
      <c r="F3" s="117" t="s">
        <v>534</v>
      </c>
      <c r="G3" s="117" t="s">
        <v>550</v>
      </c>
      <c r="H3" s="117" t="s">
        <v>535</v>
      </c>
      <c r="I3" s="117" t="s">
        <v>551</v>
      </c>
      <c r="J3" s="117" t="s">
        <v>555</v>
      </c>
      <c r="K3" s="117" t="s">
        <v>536</v>
      </c>
      <c r="L3" s="117" t="s">
        <v>552</v>
      </c>
      <c r="M3" s="117" t="s">
        <v>537</v>
      </c>
      <c r="N3" s="117" t="s">
        <v>554</v>
      </c>
      <c r="O3" s="117" t="s">
        <v>553</v>
      </c>
      <c r="P3" s="117" t="s">
        <v>538</v>
      </c>
      <c r="Q3" s="117" t="s">
        <v>539</v>
      </c>
      <c r="R3" s="117" t="s">
        <v>540</v>
      </c>
      <c r="S3" s="117" t="s">
        <v>541</v>
      </c>
      <c r="T3" s="117" t="s">
        <v>542</v>
      </c>
      <c r="U3" s="117" t="s">
        <v>543</v>
      </c>
      <c r="V3" s="117" t="s">
        <v>544</v>
      </c>
      <c r="W3" s="117" t="s">
        <v>545</v>
      </c>
      <c r="X3" s="117" t="s">
        <v>546</v>
      </c>
      <c r="Y3" s="117" t="s">
        <v>548</v>
      </c>
      <c r="Z3" s="117" t="s">
        <v>545</v>
      </c>
      <c r="AA3" s="117" t="s">
        <v>549</v>
      </c>
      <c r="AB3" s="247"/>
      <c r="AC3" s="249"/>
      <c r="AD3" s="251"/>
      <c r="AE3" s="253"/>
    </row>
    <row r="4" spans="1:31" ht="52.5" customHeight="1" x14ac:dyDescent="0.25">
      <c r="A4" s="232" t="s">
        <v>465</v>
      </c>
      <c r="B4" s="227" t="s">
        <v>493</v>
      </c>
      <c r="C4" s="81" t="s">
        <v>488</v>
      </c>
      <c r="D4" s="104" t="s">
        <v>502</v>
      </c>
      <c r="E4" s="104" t="s">
        <v>502</v>
      </c>
      <c r="F4" s="104" t="s">
        <v>502</v>
      </c>
      <c r="G4" s="104" t="s">
        <v>502</v>
      </c>
      <c r="H4" s="104" t="s">
        <v>502</v>
      </c>
      <c r="I4" s="104" t="s">
        <v>502</v>
      </c>
      <c r="J4" s="104" t="s">
        <v>502</v>
      </c>
      <c r="K4" s="104" t="s">
        <v>502</v>
      </c>
      <c r="L4" s="104" t="s">
        <v>502</v>
      </c>
      <c r="M4" s="104" t="s">
        <v>502</v>
      </c>
      <c r="N4" s="104" t="s">
        <v>502</v>
      </c>
      <c r="O4" s="104" t="s">
        <v>502</v>
      </c>
      <c r="P4" s="104" t="s">
        <v>502</v>
      </c>
      <c r="Q4" s="104" t="s">
        <v>502</v>
      </c>
      <c r="R4" s="104" t="s">
        <v>502</v>
      </c>
      <c r="S4" s="104" t="s">
        <v>502</v>
      </c>
      <c r="T4" s="104" t="s">
        <v>502</v>
      </c>
      <c r="U4" s="104" t="s">
        <v>502</v>
      </c>
      <c r="V4" s="104" t="s">
        <v>502</v>
      </c>
      <c r="W4" s="104" t="s">
        <v>502</v>
      </c>
      <c r="X4" s="104" t="s">
        <v>502</v>
      </c>
      <c r="Y4" s="104" t="s">
        <v>502</v>
      </c>
      <c r="Z4" s="104" t="s">
        <v>502</v>
      </c>
      <c r="AA4" s="104" t="s">
        <v>502</v>
      </c>
      <c r="AB4" s="121">
        <f t="shared" ref="AB4:AB12" si="0">COUNTIF(D4:AA4,"P")</f>
        <v>24</v>
      </c>
      <c r="AC4" s="122">
        <f t="shared" ref="AC4:AC12" si="1">COUNTIF(D4:AA4,"F")</f>
        <v>0</v>
      </c>
      <c r="AD4" s="123">
        <f t="shared" ref="AD4:AD12" si="2">COUNTIF(D4:AA4,"N/A")</f>
        <v>0</v>
      </c>
      <c r="AE4" s="126">
        <f>IF((AB4+AC4)=0,"N/A",AB4/(AB4+AC4))</f>
        <v>1</v>
      </c>
    </row>
    <row r="5" spans="1:31" ht="52.5" customHeight="1" x14ac:dyDescent="0.25">
      <c r="A5" s="232"/>
      <c r="B5" s="228"/>
      <c r="C5" s="81" t="s">
        <v>489</v>
      </c>
      <c r="D5" s="104" t="s">
        <v>502</v>
      </c>
      <c r="E5" s="104" t="s">
        <v>502</v>
      </c>
      <c r="F5" s="104" t="s">
        <v>502</v>
      </c>
      <c r="G5" s="104" t="s">
        <v>502</v>
      </c>
      <c r="H5" s="104" t="s">
        <v>502</v>
      </c>
      <c r="I5" s="104" t="s">
        <v>502</v>
      </c>
      <c r="J5" s="104" t="s">
        <v>502</v>
      </c>
      <c r="K5" s="104" t="s">
        <v>502</v>
      </c>
      <c r="L5" s="104" t="s">
        <v>502</v>
      </c>
      <c r="M5" s="104" t="s">
        <v>502</v>
      </c>
      <c r="N5" s="104" t="s">
        <v>502</v>
      </c>
      <c r="O5" s="104" t="s">
        <v>502</v>
      </c>
      <c r="P5" s="104" t="s">
        <v>502</v>
      </c>
      <c r="Q5" s="104" t="s">
        <v>502</v>
      </c>
      <c r="R5" s="104" t="s">
        <v>502</v>
      </c>
      <c r="S5" s="104" t="s">
        <v>502</v>
      </c>
      <c r="T5" s="104" t="s">
        <v>502</v>
      </c>
      <c r="U5" s="104" t="s">
        <v>502</v>
      </c>
      <c r="V5" s="104" t="s">
        <v>502</v>
      </c>
      <c r="W5" s="104" t="s">
        <v>502</v>
      </c>
      <c r="X5" s="104" t="s">
        <v>502</v>
      </c>
      <c r="Y5" s="104" t="s">
        <v>502</v>
      </c>
      <c r="Z5" s="104" t="s">
        <v>502</v>
      </c>
      <c r="AA5" s="104" t="s">
        <v>502</v>
      </c>
      <c r="AB5" s="121">
        <f t="shared" si="0"/>
        <v>24</v>
      </c>
      <c r="AC5" s="119">
        <f t="shared" si="1"/>
        <v>0</v>
      </c>
      <c r="AD5" s="124">
        <f t="shared" si="2"/>
        <v>0</v>
      </c>
      <c r="AE5" s="126">
        <f t="shared" ref="AE5:AE12" si="3">IF((AB5+AC5)=0,"N/A",AB5/(AB5+AC5))</f>
        <v>1</v>
      </c>
    </row>
    <row r="6" spans="1:31" ht="52.5" customHeight="1" x14ac:dyDescent="0.25">
      <c r="A6" s="232"/>
      <c r="B6" s="113" t="s">
        <v>494</v>
      </c>
      <c r="C6" s="81" t="s">
        <v>490</v>
      </c>
      <c r="D6" s="104" t="s">
        <v>502</v>
      </c>
      <c r="E6" s="104" t="s">
        <v>502</v>
      </c>
      <c r="F6" s="104" t="s">
        <v>502</v>
      </c>
      <c r="G6" s="104" t="s">
        <v>502</v>
      </c>
      <c r="H6" s="104" t="s">
        <v>502</v>
      </c>
      <c r="I6" s="104" t="s">
        <v>502</v>
      </c>
      <c r="J6" s="104" t="s">
        <v>502</v>
      </c>
      <c r="K6" s="104" t="s">
        <v>502</v>
      </c>
      <c r="L6" s="104" t="s">
        <v>502</v>
      </c>
      <c r="M6" s="104" t="s">
        <v>502</v>
      </c>
      <c r="N6" s="104" t="s">
        <v>502</v>
      </c>
      <c r="O6" s="104" t="s">
        <v>502</v>
      </c>
      <c r="P6" s="104" t="s">
        <v>502</v>
      </c>
      <c r="Q6" s="104" t="s">
        <v>502</v>
      </c>
      <c r="R6" s="104" t="s">
        <v>502</v>
      </c>
      <c r="S6" s="104" t="s">
        <v>502</v>
      </c>
      <c r="T6" s="104" t="s">
        <v>502</v>
      </c>
      <c r="U6" s="104" t="s">
        <v>502</v>
      </c>
      <c r="V6" s="104" t="s">
        <v>502</v>
      </c>
      <c r="W6" s="104" t="s">
        <v>502</v>
      </c>
      <c r="X6" s="104" t="s">
        <v>502</v>
      </c>
      <c r="Y6" s="104" t="s">
        <v>502</v>
      </c>
      <c r="Z6" s="104" t="s">
        <v>502</v>
      </c>
      <c r="AA6" s="104" t="s">
        <v>502</v>
      </c>
      <c r="AB6" s="121">
        <f t="shared" si="0"/>
        <v>24</v>
      </c>
      <c r="AC6" s="119">
        <f t="shared" si="1"/>
        <v>0</v>
      </c>
      <c r="AD6" s="124">
        <f t="shared" si="2"/>
        <v>0</v>
      </c>
      <c r="AE6" s="126">
        <f t="shared" si="3"/>
        <v>1</v>
      </c>
    </row>
    <row r="7" spans="1:31" ht="52.5" customHeight="1" x14ac:dyDescent="0.25">
      <c r="A7" s="232"/>
      <c r="B7" s="113" t="s">
        <v>495</v>
      </c>
      <c r="C7" s="81" t="s">
        <v>515</v>
      </c>
      <c r="D7" s="104" t="s">
        <v>502</v>
      </c>
      <c r="E7" s="104" t="s">
        <v>502</v>
      </c>
      <c r="F7" s="104" t="s">
        <v>502</v>
      </c>
      <c r="G7" s="104" t="s">
        <v>502</v>
      </c>
      <c r="H7" s="104" t="s">
        <v>502</v>
      </c>
      <c r="I7" s="104" t="s">
        <v>502</v>
      </c>
      <c r="J7" s="104" t="s">
        <v>502</v>
      </c>
      <c r="K7" s="104" t="s">
        <v>502</v>
      </c>
      <c r="L7" s="104" t="s">
        <v>502</v>
      </c>
      <c r="M7" s="104" t="s">
        <v>502</v>
      </c>
      <c r="N7" s="104" t="s">
        <v>502</v>
      </c>
      <c r="O7" s="104" t="s">
        <v>502</v>
      </c>
      <c r="P7" s="104" t="s">
        <v>502</v>
      </c>
      <c r="Q7" s="104" t="s">
        <v>502</v>
      </c>
      <c r="R7" s="104" t="s">
        <v>502</v>
      </c>
      <c r="S7" s="104" t="s">
        <v>502</v>
      </c>
      <c r="T7" s="104" t="s">
        <v>502</v>
      </c>
      <c r="U7" s="104" t="s">
        <v>502</v>
      </c>
      <c r="V7" s="104" t="s">
        <v>502</v>
      </c>
      <c r="W7" s="104" t="s">
        <v>502</v>
      </c>
      <c r="X7" s="104" t="s">
        <v>502</v>
      </c>
      <c r="Y7" s="104" t="s">
        <v>502</v>
      </c>
      <c r="Z7" s="104" t="s">
        <v>502</v>
      </c>
      <c r="AA7" s="104" t="s">
        <v>502</v>
      </c>
      <c r="AB7" s="121">
        <f t="shared" si="0"/>
        <v>24</v>
      </c>
      <c r="AC7" s="119">
        <f t="shared" si="1"/>
        <v>0</v>
      </c>
      <c r="AD7" s="124">
        <f t="shared" si="2"/>
        <v>0</v>
      </c>
      <c r="AE7" s="126">
        <f t="shared" si="3"/>
        <v>1</v>
      </c>
    </row>
    <row r="8" spans="1:31" ht="52.5" customHeight="1" x14ac:dyDescent="0.25">
      <c r="A8" s="232"/>
      <c r="B8" s="113" t="s">
        <v>496</v>
      </c>
      <c r="C8" s="81" t="s">
        <v>516</v>
      </c>
      <c r="D8" s="104" t="s">
        <v>502</v>
      </c>
      <c r="E8" s="104" t="s">
        <v>502</v>
      </c>
      <c r="F8" s="104" t="s">
        <v>502</v>
      </c>
      <c r="G8" s="104" t="s">
        <v>502</v>
      </c>
      <c r="H8" s="104" t="s">
        <v>502</v>
      </c>
      <c r="I8" s="104" t="s">
        <v>502</v>
      </c>
      <c r="J8" s="104" t="s">
        <v>502</v>
      </c>
      <c r="K8" s="104" t="s">
        <v>502</v>
      </c>
      <c r="L8" s="104" t="s">
        <v>502</v>
      </c>
      <c r="M8" s="104" t="s">
        <v>502</v>
      </c>
      <c r="N8" s="104" t="s">
        <v>502</v>
      </c>
      <c r="O8" s="104" t="s">
        <v>502</v>
      </c>
      <c r="P8" s="104" t="s">
        <v>502</v>
      </c>
      <c r="Q8" s="104" t="s">
        <v>502</v>
      </c>
      <c r="R8" s="104" t="s">
        <v>502</v>
      </c>
      <c r="S8" s="104" t="s">
        <v>502</v>
      </c>
      <c r="T8" s="104" t="s">
        <v>502</v>
      </c>
      <c r="U8" s="104" t="s">
        <v>502</v>
      </c>
      <c r="V8" s="104" t="s">
        <v>502</v>
      </c>
      <c r="W8" s="104" t="s">
        <v>502</v>
      </c>
      <c r="X8" s="104" t="s">
        <v>502</v>
      </c>
      <c r="Y8" s="104" t="s">
        <v>502</v>
      </c>
      <c r="Z8" s="104" t="s">
        <v>502</v>
      </c>
      <c r="AA8" s="104" t="s">
        <v>502</v>
      </c>
      <c r="AB8" s="121">
        <f t="shared" si="0"/>
        <v>24</v>
      </c>
      <c r="AC8" s="119">
        <f t="shared" si="1"/>
        <v>0</v>
      </c>
      <c r="AD8" s="124">
        <f t="shared" si="2"/>
        <v>0</v>
      </c>
      <c r="AE8" s="126">
        <f t="shared" si="3"/>
        <v>1</v>
      </c>
    </row>
    <row r="9" spans="1:31" ht="108.75" customHeight="1" x14ac:dyDescent="0.25">
      <c r="A9" s="233"/>
      <c r="B9" s="114" t="s">
        <v>497</v>
      </c>
      <c r="C9" s="81" t="s">
        <v>419</v>
      </c>
      <c r="D9" s="104" t="s">
        <v>502</v>
      </c>
      <c r="E9" s="104" t="s">
        <v>502</v>
      </c>
      <c r="F9" s="104" t="s">
        <v>502</v>
      </c>
      <c r="G9" s="104" t="s">
        <v>502</v>
      </c>
      <c r="H9" s="104" t="s">
        <v>502</v>
      </c>
      <c r="I9" s="104" t="s">
        <v>502</v>
      </c>
      <c r="J9" s="104" t="s">
        <v>502</v>
      </c>
      <c r="K9" s="104" t="s">
        <v>502</v>
      </c>
      <c r="L9" s="104" t="s">
        <v>502</v>
      </c>
      <c r="M9" s="104" t="s">
        <v>502</v>
      </c>
      <c r="N9" s="104" t="s">
        <v>502</v>
      </c>
      <c r="O9" s="104" t="s">
        <v>502</v>
      </c>
      <c r="P9" s="104" t="s">
        <v>502</v>
      </c>
      <c r="Q9" s="104" t="s">
        <v>502</v>
      </c>
      <c r="R9" s="104" t="s">
        <v>502</v>
      </c>
      <c r="S9" s="104" t="s">
        <v>502</v>
      </c>
      <c r="T9" s="104" t="s">
        <v>502</v>
      </c>
      <c r="U9" s="104" t="s">
        <v>502</v>
      </c>
      <c r="V9" s="104" t="s">
        <v>502</v>
      </c>
      <c r="W9" s="104" t="s">
        <v>502</v>
      </c>
      <c r="X9" s="104" t="s">
        <v>502</v>
      </c>
      <c r="Y9" s="104" t="s">
        <v>502</v>
      </c>
      <c r="Z9" s="104" t="s">
        <v>502</v>
      </c>
      <c r="AA9" s="104" t="s">
        <v>502</v>
      </c>
      <c r="AB9" s="121">
        <f t="shared" si="0"/>
        <v>24</v>
      </c>
      <c r="AC9" s="119">
        <f t="shared" si="1"/>
        <v>0</v>
      </c>
      <c r="AD9" s="124">
        <f t="shared" si="2"/>
        <v>0</v>
      </c>
      <c r="AE9" s="126">
        <f t="shared" si="3"/>
        <v>1</v>
      </c>
    </row>
    <row r="10" spans="1:31" ht="52.5" customHeight="1" x14ac:dyDescent="0.25">
      <c r="A10" s="229" t="s">
        <v>466</v>
      </c>
      <c r="B10" s="225" t="s">
        <v>498</v>
      </c>
      <c r="C10" s="81" t="s">
        <v>491</v>
      </c>
      <c r="D10" s="104" t="s">
        <v>502</v>
      </c>
      <c r="E10" s="104" t="s">
        <v>502</v>
      </c>
      <c r="F10" s="104" t="s">
        <v>502</v>
      </c>
      <c r="G10" s="104" t="s">
        <v>502</v>
      </c>
      <c r="H10" s="104" t="s">
        <v>502</v>
      </c>
      <c r="I10" s="104" t="s">
        <v>502</v>
      </c>
      <c r="J10" s="104" t="s">
        <v>502</v>
      </c>
      <c r="K10" s="104" t="s">
        <v>502</v>
      </c>
      <c r="L10" s="104" t="s">
        <v>502</v>
      </c>
      <c r="M10" s="104" t="s">
        <v>502</v>
      </c>
      <c r="N10" s="104" t="s">
        <v>502</v>
      </c>
      <c r="O10" s="104" t="s">
        <v>502</v>
      </c>
      <c r="P10" s="104" t="s">
        <v>502</v>
      </c>
      <c r="Q10" s="104" t="s">
        <v>502</v>
      </c>
      <c r="R10" s="104" t="s">
        <v>502</v>
      </c>
      <c r="S10" s="104" t="s">
        <v>502</v>
      </c>
      <c r="T10" s="104" t="s">
        <v>502</v>
      </c>
      <c r="U10" s="104" t="s">
        <v>502</v>
      </c>
      <c r="V10" s="104" t="s">
        <v>502</v>
      </c>
      <c r="W10" s="104" t="s">
        <v>502</v>
      </c>
      <c r="X10" s="104" t="s">
        <v>502</v>
      </c>
      <c r="Y10" s="104" t="s">
        <v>502</v>
      </c>
      <c r="Z10" s="104" t="s">
        <v>502</v>
      </c>
      <c r="AA10" s="104" t="s">
        <v>502</v>
      </c>
      <c r="AB10" s="121">
        <f t="shared" si="0"/>
        <v>24</v>
      </c>
      <c r="AC10" s="119">
        <f t="shared" si="1"/>
        <v>0</v>
      </c>
      <c r="AD10" s="124">
        <f t="shared" si="2"/>
        <v>0</v>
      </c>
      <c r="AE10" s="126">
        <f t="shared" si="3"/>
        <v>1</v>
      </c>
    </row>
    <row r="11" spans="1:31" ht="52.5" customHeight="1" x14ac:dyDescent="0.25">
      <c r="A11" s="230"/>
      <c r="B11" s="226"/>
      <c r="C11" s="81" t="s">
        <v>500</v>
      </c>
      <c r="D11" s="104" t="s">
        <v>502</v>
      </c>
      <c r="E11" s="104" t="s">
        <v>502</v>
      </c>
      <c r="F11" s="104" t="s">
        <v>502</v>
      </c>
      <c r="G11" s="104" t="s">
        <v>502</v>
      </c>
      <c r="H11" s="104" t="s">
        <v>502</v>
      </c>
      <c r="I11" s="104" t="s">
        <v>502</v>
      </c>
      <c r="J11" s="104" t="s">
        <v>502</v>
      </c>
      <c r="K11" s="104" t="s">
        <v>502</v>
      </c>
      <c r="L11" s="104" t="s">
        <v>502</v>
      </c>
      <c r="M11" s="104" t="s">
        <v>502</v>
      </c>
      <c r="N11" s="104" t="s">
        <v>502</v>
      </c>
      <c r="O11" s="104" t="s">
        <v>502</v>
      </c>
      <c r="P11" s="104" t="s">
        <v>502</v>
      </c>
      <c r="Q11" s="104" t="s">
        <v>502</v>
      </c>
      <c r="R11" s="104" t="s">
        <v>502</v>
      </c>
      <c r="S11" s="104" t="s">
        <v>502</v>
      </c>
      <c r="T11" s="104" t="s">
        <v>502</v>
      </c>
      <c r="U11" s="104" t="s">
        <v>502</v>
      </c>
      <c r="V11" s="104" t="s">
        <v>502</v>
      </c>
      <c r="W11" s="104" t="s">
        <v>502</v>
      </c>
      <c r="X11" s="104" t="s">
        <v>502</v>
      </c>
      <c r="Y11" s="104" t="s">
        <v>502</v>
      </c>
      <c r="Z11" s="104" t="s">
        <v>502</v>
      </c>
      <c r="AA11" s="104" t="s">
        <v>502</v>
      </c>
      <c r="AB11" s="121">
        <f t="shared" si="0"/>
        <v>24</v>
      </c>
      <c r="AC11" s="119">
        <f t="shared" si="1"/>
        <v>0</v>
      </c>
      <c r="AD11" s="124">
        <f t="shared" si="2"/>
        <v>0</v>
      </c>
      <c r="AE11" s="126">
        <f t="shared" si="3"/>
        <v>1</v>
      </c>
    </row>
    <row r="12" spans="1:31" ht="52.5" customHeight="1" thickBot="1" x14ac:dyDescent="0.3">
      <c r="A12" s="231"/>
      <c r="B12" s="115" t="s">
        <v>499</v>
      </c>
      <c r="C12" s="81" t="s">
        <v>492</v>
      </c>
      <c r="D12" s="104" t="s">
        <v>502</v>
      </c>
      <c r="E12" s="104" t="s">
        <v>502</v>
      </c>
      <c r="F12" s="104" t="s">
        <v>502</v>
      </c>
      <c r="G12" s="104" t="s">
        <v>502</v>
      </c>
      <c r="H12" s="104" t="s">
        <v>502</v>
      </c>
      <c r="I12" s="104" t="s">
        <v>502</v>
      </c>
      <c r="J12" s="104" t="s">
        <v>502</v>
      </c>
      <c r="K12" s="104" t="s">
        <v>502</v>
      </c>
      <c r="L12" s="104" t="s">
        <v>502</v>
      </c>
      <c r="M12" s="104" t="s">
        <v>502</v>
      </c>
      <c r="N12" s="104" t="s">
        <v>502</v>
      </c>
      <c r="O12" s="104" t="s">
        <v>502</v>
      </c>
      <c r="P12" s="104" t="s">
        <v>502</v>
      </c>
      <c r="Q12" s="104" t="s">
        <v>502</v>
      </c>
      <c r="R12" s="104" t="s">
        <v>502</v>
      </c>
      <c r="S12" s="104" t="s">
        <v>502</v>
      </c>
      <c r="T12" s="104" t="s">
        <v>502</v>
      </c>
      <c r="U12" s="104" t="s">
        <v>502</v>
      </c>
      <c r="V12" s="104" t="s">
        <v>502</v>
      </c>
      <c r="W12" s="104" t="s">
        <v>502</v>
      </c>
      <c r="X12" s="104" t="s">
        <v>502</v>
      </c>
      <c r="Y12" s="104" t="s">
        <v>502</v>
      </c>
      <c r="Z12" s="104" t="s">
        <v>502</v>
      </c>
      <c r="AA12" s="104" t="s">
        <v>502</v>
      </c>
      <c r="AB12" s="121">
        <f t="shared" si="0"/>
        <v>24</v>
      </c>
      <c r="AC12" s="120">
        <f t="shared" si="1"/>
        <v>0</v>
      </c>
      <c r="AD12" s="125">
        <f t="shared" si="2"/>
        <v>0</v>
      </c>
      <c r="AE12" s="126">
        <f t="shared" si="3"/>
        <v>1</v>
      </c>
    </row>
    <row r="13" spans="1:31" ht="64.5" customHeight="1" x14ac:dyDescent="0.25"/>
    <row r="15" spans="1:31" ht="32.25" customHeight="1" x14ac:dyDescent="0.25"/>
    <row r="16" spans="1:31" ht="32.25" customHeight="1" x14ac:dyDescent="0.25"/>
    <row r="17" ht="45.75" customHeight="1" x14ac:dyDescent="0.25"/>
    <row r="18" ht="44.25" customHeight="1" x14ac:dyDescent="0.25"/>
    <row r="19" ht="58.5" customHeight="1" x14ac:dyDescent="0.25"/>
    <row r="20" ht="58.5" customHeight="1" x14ac:dyDescent="0.25"/>
    <row r="21" ht="58.5" customHeight="1" x14ac:dyDescent="0.25"/>
    <row r="22" ht="88" customHeight="1" x14ac:dyDescent="0.25"/>
    <row r="24" ht="19.5" customHeight="1" x14ac:dyDescent="0.25"/>
    <row r="25" ht="19.5" customHeight="1" x14ac:dyDescent="0.25"/>
    <row r="26" ht="19.5" customHeight="1" x14ac:dyDescent="0.25"/>
    <row r="27" ht="19.5" customHeight="1" x14ac:dyDescent="0.25"/>
    <row r="28" ht="19.5" customHeight="1" x14ac:dyDescent="0.25"/>
    <row r="29" ht="19.5" customHeight="1" x14ac:dyDescent="0.25"/>
    <row r="30" ht="19.5" customHeight="1" x14ac:dyDescent="0.25"/>
    <row r="31" ht="19.5" customHeight="1" x14ac:dyDescent="0.25"/>
    <row r="32"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sheetData>
  <mergeCells count="11">
    <mergeCell ref="A4:A9"/>
    <mergeCell ref="B4:B5"/>
    <mergeCell ref="A10:A12"/>
    <mergeCell ref="B10:B11"/>
    <mergeCell ref="A1:AE1"/>
    <mergeCell ref="A2:C3"/>
    <mergeCell ref="AB2:AB3"/>
    <mergeCell ref="AC2:AC3"/>
    <mergeCell ref="AD2:AD3"/>
    <mergeCell ref="AE2:AE3"/>
    <mergeCell ref="D2:AA2"/>
  </mergeCells>
  <phoneticPr fontId="2" type="noConversion"/>
  <printOptions horizontalCentered="1"/>
  <pageMargins left="0.25" right="0.25" top="0.75" bottom="0.75" header="0.3" footer="0.3"/>
  <pageSetup paperSize="9" scale="61" fitToHeight="0" orientation="landscape" r:id="rId1"/>
  <headerFooter>
    <oddHeader>&amp;L&amp;G&amp;R&amp;"+,보통"&amp;10&amp;F</oddHeader>
    <oddFooter>&amp;L&amp;"+,보통"&amp;10마이데이터 지원 플랫폼 구축(2차)&amp;R&amp;G</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구분선택!$A$1:$A$3</xm:f>
          </x14:formula1>
          <xm:sqref>D4:AA12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111"/>
  <sheetViews>
    <sheetView showWhiteSpace="0" view="pageLayout" zoomScaleNormal="85" zoomScaleSheetLayoutView="100" workbookViewId="0">
      <selection activeCell="M6" sqref="M6"/>
    </sheetView>
  </sheetViews>
  <sheetFormatPr defaultColWidth="6.08203125" defaultRowHeight="16" x14ac:dyDescent="0.25"/>
  <cols>
    <col min="1" max="1" width="13.33203125" style="78" customWidth="1"/>
    <col min="2" max="2" width="22.25" style="83" customWidth="1"/>
    <col min="3" max="3" width="55.58203125" style="83" customWidth="1"/>
    <col min="4" max="4" width="6.6640625" style="84" customWidth="1"/>
    <col min="5" max="13" width="4.33203125" style="82" customWidth="1"/>
    <col min="14" max="16" width="6.6640625" style="82" customWidth="1"/>
    <col min="17" max="17" width="7.75" style="82" customWidth="1"/>
    <col min="18" max="16384" width="6.08203125" style="78"/>
  </cols>
  <sheetData>
    <row r="1" spans="1:17" s="96" customFormat="1" ht="45" customHeight="1" thickBot="1" x14ac:dyDescent="0.3">
      <c r="A1" s="260" t="s">
        <v>400</v>
      </c>
      <c r="B1" s="260"/>
      <c r="C1" s="260"/>
      <c r="D1" s="260"/>
      <c r="E1" s="260"/>
      <c r="F1" s="260"/>
      <c r="G1" s="260"/>
      <c r="H1" s="260"/>
      <c r="I1" s="260"/>
      <c r="J1" s="260"/>
      <c r="K1" s="260"/>
      <c r="L1" s="260"/>
      <c r="M1" s="260"/>
      <c r="N1" s="222"/>
      <c r="O1" s="222"/>
      <c r="P1" s="222"/>
      <c r="Q1" s="260"/>
    </row>
    <row r="2" spans="1:17" s="96" customFormat="1" ht="19.5" customHeight="1" x14ac:dyDescent="0.25">
      <c r="A2" s="262" t="s">
        <v>468</v>
      </c>
      <c r="B2" s="263"/>
      <c r="C2" s="264"/>
      <c r="D2" s="127" t="s">
        <v>504</v>
      </c>
      <c r="E2" s="267" t="s">
        <v>561</v>
      </c>
      <c r="F2" s="244"/>
      <c r="G2" s="244"/>
      <c r="H2" s="244"/>
      <c r="I2" s="244"/>
      <c r="J2" s="244"/>
      <c r="K2" s="244"/>
      <c r="L2" s="244"/>
      <c r="M2" s="244"/>
      <c r="N2" s="265" t="s">
        <v>485</v>
      </c>
      <c r="O2" s="254" t="s">
        <v>486</v>
      </c>
      <c r="P2" s="256" t="s">
        <v>178</v>
      </c>
      <c r="Q2" s="237" t="s">
        <v>487</v>
      </c>
    </row>
    <row r="3" spans="1:17" ht="97.5" customHeight="1" thickBot="1" x14ac:dyDescent="0.3">
      <c r="A3" s="127" t="s">
        <v>476</v>
      </c>
      <c r="B3" s="127" t="s">
        <v>475</v>
      </c>
      <c r="C3" s="127" t="s">
        <v>474</v>
      </c>
      <c r="D3" s="127" t="s">
        <v>507</v>
      </c>
      <c r="E3" s="117" t="s">
        <v>514</v>
      </c>
      <c r="F3" s="117" t="s">
        <v>521</v>
      </c>
      <c r="G3" s="117" t="s">
        <v>522</v>
      </c>
      <c r="H3" s="117" t="s">
        <v>523</v>
      </c>
      <c r="I3" s="117" t="s">
        <v>524</v>
      </c>
      <c r="J3" s="117" t="s">
        <v>525</v>
      </c>
      <c r="K3" s="117" t="s">
        <v>527</v>
      </c>
      <c r="L3" s="117" t="s">
        <v>526</v>
      </c>
      <c r="M3" s="117" t="s">
        <v>545</v>
      </c>
      <c r="N3" s="266"/>
      <c r="O3" s="255"/>
      <c r="P3" s="257"/>
      <c r="Q3" s="238"/>
    </row>
    <row r="4" spans="1:17" ht="48" x14ac:dyDescent="0.25">
      <c r="A4" s="268" t="s">
        <v>477</v>
      </c>
      <c r="B4" s="89" t="s">
        <v>213</v>
      </c>
      <c r="C4" s="90" t="s">
        <v>443</v>
      </c>
      <c r="D4" s="165" t="s">
        <v>505</v>
      </c>
      <c r="E4" s="149" t="s">
        <v>502</v>
      </c>
      <c r="F4" s="149" t="s">
        <v>502</v>
      </c>
      <c r="G4" s="149" t="s">
        <v>502</v>
      </c>
      <c r="H4" s="149" t="s">
        <v>502</v>
      </c>
      <c r="I4" s="149" t="s">
        <v>502</v>
      </c>
      <c r="J4" s="149" t="s">
        <v>502</v>
      </c>
      <c r="K4" s="149" t="s">
        <v>502</v>
      </c>
      <c r="L4" s="149" t="s">
        <v>502</v>
      </c>
      <c r="M4" s="149" t="s">
        <v>502</v>
      </c>
      <c r="N4" s="155">
        <f t="shared" ref="N4:N27" si="0">COUNTIF(E4:M4,"P")</f>
        <v>9</v>
      </c>
      <c r="O4" s="156">
        <f t="shared" ref="O4:O27" si="1">COUNTIF(E4:M4,"F")</f>
        <v>0</v>
      </c>
      <c r="P4" s="157">
        <f t="shared" ref="P4:P27" si="2">COUNTIF(E4:M4,"N/A")</f>
        <v>0</v>
      </c>
      <c r="Q4" s="158">
        <f>IF((N4+O4)=0,"N/A",N4/(N4+O4))</f>
        <v>1</v>
      </c>
    </row>
    <row r="5" spans="1:17" ht="32" x14ac:dyDescent="0.25">
      <c r="A5" s="270"/>
      <c r="B5" s="91" t="s">
        <v>214</v>
      </c>
      <c r="C5" s="92" t="s">
        <v>444</v>
      </c>
      <c r="D5" s="129" t="s">
        <v>506</v>
      </c>
      <c r="E5" s="150" t="s">
        <v>501</v>
      </c>
      <c r="F5" s="150" t="s">
        <v>501</v>
      </c>
      <c r="G5" s="150" t="s">
        <v>501</v>
      </c>
      <c r="H5" s="150" t="s">
        <v>501</v>
      </c>
      <c r="I5" s="150" t="s">
        <v>501</v>
      </c>
      <c r="J5" s="150" t="s">
        <v>501</v>
      </c>
      <c r="K5" s="150" t="s">
        <v>501</v>
      </c>
      <c r="L5" s="150" t="s">
        <v>501</v>
      </c>
      <c r="M5" s="150" t="s">
        <v>501</v>
      </c>
      <c r="N5" s="131">
        <f t="shared" si="0"/>
        <v>0</v>
      </c>
      <c r="O5" s="132">
        <f t="shared" si="1"/>
        <v>0</v>
      </c>
      <c r="P5" s="133">
        <f t="shared" si="2"/>
        <v>9</v>
      </c>
      <c r="Q5" s="159" t="str">
        <f t="shared" ref="Q5:Q27" si="3">IF((N5+O5)=0,"N/A",N5/(N5+O5))</f>
        <v>N/A</v>
      </c>
    </row>
    <row r="6" spans="1:17" ht="32" x14ac:dyDescent="0.25">
      <c r="A6" s="270"/>
      <c r="B6" s="258" t="s">
        <v>215</v>
      </c>
      <c r="C6" s="92" t="s">
        <v>445</v>
      </c>
      <c r="D6" s="129" t="s">
        <v>506</v>
      </c>
      <c r="E6" s="149" t="s">
        <v>502</v>
      </c>
      <c r="F6" s="149" t="s">
        <v>502</v>
      </c>
      <c r="G6" s="149" t="s">
        <v>502</v>
      </c>
      <c r="H6" s="149" t="s">
        <v>502</v>
      </c>
      <c r="I6" s="149" t="s">
        <v>502</v>
      </c>
      <c r="J6" s="149" t="s">
        <v>502</v>
      </c>
      <c r="K6" s="149" t="s">
        <v>502</v>
      </c>
      <c r="L6" s="149" t="s">
        <v>502</v>
      </c>
      <c r="M6" s="149" t="s">
        <v>502</v>
      </c>
      <c r="N6" s="131">
        <f t="shared" si="0"/>
        <v>9</v>
      </c>
      <c r="O6" s="132">
        <f t="shared" si="1"/>
        <v>0</v>
      </c>
      <c r="P6" s="133">
        <f t="shared" si="2"/>
        <v>0</v>
      </c>
      <c r="Q6" s="159">
        <f t="shared" si="3"/>
        <v>1</v>
      </c>
    </row>
    <row r="7" spans="1:17" ht="48" x14ac:dyDescent="0.25">
      <c r="A7" s="270"/>
      <c r="B7" s="271"/>
      <c r="C7" s="92" t="s">
        <v>446</v>
      </c>
      <c r="D7" s="129" t="s">
        <v>506</v>
      </c>
      <c r="E7" s="149" t="s">
        <v>502</v>
      </c>
      <c r="F7" s="149" t="s">
        <v>502</v>
      </c>
      <c r="G7" s="149" t="s">
        <v>502</v>
      </c>
      <c r="H7" s="149" t="s">
        <v>502</v>
      </c>
      <c r="I7" s="149" t="s">
        <v>502</v>
      </c>
      <c r="J7" s="149" t="s">
        <v>502</v>
      </c>
      <c r="K7" s="149" t="s">
        <v>502</v>
      </c>
      <c r="L7" s="149" t="s">
        <v>502</v>
      </c>
      <c r="M7" s="149" t="s">
        <v>502</v>
      </c>
      <c r="N7" s="131">
        <f t="shared" si="0"/>
        <v>9</v>
      </c>
      <c r="O7" s="132">
        <f t="shared" si="1"/>
        <v>0</v>
      </c>
      <c r="P7" s="133">
        <f t="shared" si="2"/>
        <v>0</v>
      </c>
      <c r="Q7" s="159">
        <f t="shared" si="3"/>
        <v>1</v>
      </c>
    </row>
    <row r="8" spans="1:17" ht="32" x14ac:dyDescent="0.25">
      <c r="A8" s="270"/>
      <c r="B8" s="271"/>
      <c r="C8" s="92" t="s">
        <v>556</v>
      </c>
      <c r="D8" s="129" t="s">
        <v>506</v>
      </c>
      <c r="E8" s="149" t="s">
        <v>502</v>
      </c>
      <c r="F8" s="149" t="s">
        <v>502</v>
      </c>
      <c r="G8" s="149" t="s">
        <v>502</v>
      </c>
      <c r="H8" s="149" t="s">
        <v>502</v>
      </c>
      <c r="I8" s="149" t="s">
        <v>502</v>
      </c>
      <c r="J8" s="149" t="s">
        <v>502</v>
      </c>
      <c r="K8" s="149" t="s">
        <v>502</v>
      </c>
      <c r="L8" s="149" t="s">
        <v>502</v>
      </c>
      <c r="M8" s="149" t="s">
        <v>502</v>
      </c>
      <c r="N8" s="131">
        <f t="shared" si="0"/>
        <v>9</v>
      </c>
      <c r="O8" s="132">
        <f t="shared" si="1"/>
        <v>0</v>
      </c>
      <c r="P8" s="133">
        <f t="shared" si="2"/>
        <v>0</v>
      </c>
      <c r="Q8" s="159">
        <f t="shared" si="3"/>
        <v>1</v>
      </c>
    </row>
    <row r="9" spans="1:17" ht="32" x14ac:dyDescent="0.25">
      <c r="A9" s="270"/>
      <c r="B9" s="271"/>
      <c r="C9" s="92" t="s">
        <v>447</v>
      </c>
      <c r="D9" s="129" t="s">
        <v>506</v>
      </c>
      <c r="E9" s="150" t="s">
        <v>501</v>
      </c>
      <c r="F9" s="150" t="s">
        <v>501</v>
      </c>
      <c r="G9" s="150" t="s">
        <v>501</v>
      </c>
      <c r="H9" s="150" t="s">
        <v>501</v>
      </c>
      <c r="I9" s="150" t="s">
        <v>501</v>
      </c>
      <c r="J9" s="150" t="s">
        <v>501</v>
      </c>
      <c r="K9" s="150" t="s">
        <v>501</v>
      </c>
      <c r="L9" s="150" t="s">
        <v>501</v>
      </c>
      <c r="M9" s="150" t="s">
        <v>501</v>
      </c>
      <c r="N9" s="134">
        <f t="shared" si="0"/>
        <v>0</v>
      </c>
      <c r="O9" s="135">
        <f t="shared" si="1"/>
        <v>0</v>
      </c>
      <c r="P9" s="136">
        <f t="shared" si="2"/>
        <v>9</v>
      </c>
      <c r="Q9" s="160" t="str">
        <f t="shared" si="3"/>
        <v>N/A</v>
      </c>
    </row>
    <row r="10" spans="1:17" ht="32" x14ac:dyDescent="0.25">
      <c r="A10" s="269"/>
      <c r="B10" s="261"/>
      <c r="C10" s="93" t="s">
        <v>448</v>
      </c>
      <c r="D10" s="130" t="s">
        <v>506</v>
      </c>
      <c r="E10" s="149" t="s">
        <v>502</v>
      </c>
      <c r="F10" s="149" t="s">
        <v>502</v>
      </c>
      <c r="G10" s="149" t="s">
        <v>502</v>
      </c>
      <c r="H10" s="149" t="s">
        <v>502</v>
      </c>
      <c r="I10" s="149" t="s">
        <v>502</v>
      </c>
      <c r="J10" s="149" t="s">
        <v>502</v>
      </c>
      <c r="K10" s="149" t="s">
        <v>502</v>
      </c>
      <c r="L10" s="149" t="s">
        <v>502</v>
      </c>
      <c r="M10" s="149" t="s">
        <v>502</v>
      </c>
      <c r="N10" s="137">
        <f t="shared" si="0"/>
        <v>9</v>
      </c>
      <c r="O10" s="138">
        <f t="shared" si="1"/>
        <v>0</v>
      </c>
      <c r="P10" s="139">
        <f t="shared" si="2"/>
        <v>0</v>
      </c>
      <c r="Q10" s="161">
        <f t="shared" si="3"/>
        <v>1</v>
      </c>
    </row>
    <row r="11" spans="1:17" ht="32" x14ac:dyDescent="0.25">
      <c r="A11" s="268" t="s">
        <v>210</v>
      </c>
      <c r="B11" s="272" t="s">
        <v>216</v>
      </c>
      <c r="C11" s="90" t="s">
        <v>557</v>
      </c>
      <c r="D11" s="128" t="s">
        <v>506</v>
      </c>
      <c r="E11" s="149" t="s">
        <v>502</v>
      </c>
      <c r="F11" s="149" t="s">
        <v>502</v>
      </c>
      <c r="G11" s="149" t="s">
        <v>502</v>
      </c>
      <c r="H11" s="149" t="s">
        <v>502</v>
      </c>
      <c r="I11" s="149" t="s">
        <v>502</v>
      </c>
      <c r="J11" s="149" t="s">
        <v>502</v>
      </c>
      <c r="K11" s="149" t="s">
        <v>502</v>
      </c>
      <c r="L11" s="149" t="s">
        <v>502</v>
      </c>
      <c r="M11" s="149" t="s">
        <v>502</v>
      </c>
      <c r="N11" s="140">
        <f t="shared" si="0"/>
        <v>9</v>
      </c>
      <c r="O11" s="141">
        <f t="shared" si="1"/>
        <v>0</v>
      </c>
      <c r="P11" s="142">
        <f t="shared" si="2"/>
        <v>0</v>
      </c>
      <c r="Q11" s="162">
        <f t="shared" si="3"/>
        <v>1</v>
      </c>
    </row>
    <row r="12" spans="1:17" ht="48" x14ac:dyDescent="0.25">
      <c r="A12" s="270"/>
      <c r="B12" s="271"/>
      <c r="C12" s="92" t="s">
        <v>558</v>
      </c>
      <c r="D12" s="129" t="s">
        <v>506</v>
      </c>
      <c r="E12" s="149" t="s">
        <v>502</v>
      </c>
      <c r="F12" s="149" t="s">
        <v>502</v>
      </c>
      <c r="G12" s="149" t="s">
        <v>502</v>
      </c>
      <c r="H12" s="149" t="s">
        <v>502</v>
      </c>
      <c r="I12" s="149" t="s">
        <v>502</v>
      </c>
      <c r="J12" s="149" t="s">
        <v>502</v>
      </c>
      <c r="K12" s="149" t="s">
        <v>502</v>
      </c>
      <c r="L12" s="149" t="s">
        <v>502</v>
      </c>
      <c r="M12" s="149" t="s">
        <v>502</v>
      </c>
      <c r="N12" s="131">
        <f t="shared" si="0"/>
        <v>9</v>
      </c>
      <c r="O12" s="132">
        <f t="shared" si="1"/>
        <v>0</v>
      </c>
      <c r="P12" s="133">
        <f t="shared" si="2"/>
        <v>0</v>
      </c>
      <c r="Q12" s="159">
        <f t="shared" si="3"/>
        <v>1</v>
      </c>
    </row>
    <row r="13" spans="1:17" ht="32" x14ac:dyDescent="0.25">
      <c r="A13" s="270"/>
      <c r="B13" s="259"/>
      <c r="C13" s="92" t="s">
        <v>450</v>
      </c>
      <c r="D13" s="129" t="s">
        <v>506</v>
      </c>
      <c r="E13" s="149" t="s">
        <v>502</v>
      </c>
      <c r="F13" s="149" t="s">
        <v>502</v>
      </c>
      <c r="G13" s="149" t="s">
        <v>502</v>
      </c>
      <c r="H13" s="149" t="s">
        <v>502</v>
      </c>
      <c r="I13" s="149" t="s">
        <v>502</v>
      </c>
      <c r="J13" s="149" t="s">
        <v>502</v>
      </c>
      <c r="K13" s="149" t="s">
        <v>502</v>
      </c>
      <c r="L13" s="149" t="s">
        <v>502</v>
      </c>
      <c r="M13" s="149" t="s">
        <v>502</v>
      </c>
      <c r="N13" s="131">
        <f t="shared" si="0"/>
        <v>9</v>
      </c>
      <c r="O13" s="132">
        <f t="shared" si="1"/>
        <v>0</v>
      </c>
      <c r="P13" s="133">
        <f t="shared" si="2"/>
        <v>0</v>
      </c>
      <c r="Q13" s="159">
        <f t="shared" si="3"/>
        <v>1</v>
      </c>
    </row>
    <row r="14" spans="1:17" ht="32" x14ac:dyDescent="0.25">
      <c r="A14" s="270"/>
      <c r="B14" s="258" t="s">
        <v>217</v>
      </c>
      <c r="C14" s="92" t="s">
        <v>451</v>
      </c>
      <c r="D14" s="129" t="s">
        <v>506</v>
      </c>
      <c r="E14" s="150" t="s">
        <v>501</v>
      </c>
      <c r="F14" s="150" t="s">
        <v>501</v>
      </c>
      <c r="G14" s="150" t="s">
        <v>501</v>
      </c>
      <c r="H14" s="150" t="s">
        <v>501</v>
      </c>
      <c r="I14" s="150" t="s">
        <v>501</v>
      </c>
      <c r="J14" s="150" t="s">
        <v>501</v>
      </c>
      <c r="K14" s="150" t="s">
        <v>501</v>
      </c>
      <c r="L14" s="150" t="s">
        <v>501</v>
      </c>
      <c r="M14" s="150" t="s">
        <v>501</v>
      </c>
      <c r="N14" s="131">
        <f t="shared" si="0"/>
        <v>0</v>
      </c>
      <c r="O14" s="132">
        <f t="shared" si="1"/>
        <v>0</v>
      </c>
      <c r="P14" s="133">
        <f t="shared" si="2"/>
        <v>9</v>
      </c>
      <c r="Q14" s="159" t="str">
        <f t="shared" si="3"/>
        <v>N/A</v>
      </c>
    </row>
    <row r="15" spans="1:17" ht="32" x14ac:dyDescent="0.25">
      <c r="A15" s="270"/>
      <c r="B15" s="259"/>
      <c r="C15" s="92" t="s">
        <v>452</v>
      </c>
      <c r="D15" s="129" t="s">
        <v>506</v>
      </c>
      <c r="E15" s="149" t="s">
        <v>502</v>
      </c>
      <c r="F15" s="150" t="s">
        <v>501</v>
      </c>
      <c r="G15" s="150" t="s">
        <v>501</v>
      </c>
      <c r="H15" s="150" t="s">
        <v>501</v>
      </c>
      <c r="I15" s="150" t="s">
        <v>501</v>
      </c>
      <c r="J15" s="150" t="s">
        <v>501</v>
      </c>
      <c r="K15" s="150" t="s">
        <v>501</v>
      </c>
      <c r="L15" s="150" t="s">
        <v>501</v>
      </c>
      <c r="M15" s="150" t="s">
        <v>501</v>
      </c>
      <c r="N15" s="131">
        <f t="shared" si="0"/>
        <v>1</v>
      </c>
      <c r="O15" s="132">
        <f t="shared" si="1"/>
        <v>0</v>
      </c>
      <c r="P15" s="133">
        <f t="shared" si="2"/>
        <v>8</v>
      </c>
      <c r="Q15" s="159">
        <f t="shared" si="3"/>
        <v>1</v>
      </c>
    </row>
    <row r="16" spans="1:17" ht="48" x14ac:dyDescent="0.25">
      <c r="A16" s="270"/>
      <c r="B16" s="91" t="s">
        <v>218</v>
      </c>
      <c r="C16" s="92" t="s">
        <v>453</v>
      </c>
      <c r="D16" s="129" t="s">
        <v>506</v>
      </c>
      <c r="E16" s="151" t="s">
        <v>501</v>
      </c>
      <c r="F16" s="151" t="s">
        <v>501</v>
      </c>
      <c r="G16" s="151" t="s">
        <v>501</v>
      </c>
      <c r="H16" s="151" t="s">
        <v>501</v>
      </c>
      <c r="I16" s="151" t="s">
        <v>501</v>
      </c>
      <c r="J16" s="151" t="s">
        <v>501</v>
      </c>
      <c r="K16" s="151" t="s">
        <v>501</v>
      </c>
      <c r="L16" s="151" t="s">
        <v>501</v>
      </c>
      <c r="M16" s="151" t="s">
        <v>501</v>
      </c>
      <c r="N16" s="134">
        <f t="shared" si="0"/>
        <v>0</v>
      </c>
      <c r="O16" s="135">
        <f t="shared" si="1"/>
        <v>0</v>
      </c>
      <c r="P16" s="136">
        <f t="shared" si="2"/>
        <v>9</v>
      </c>
      <c r="Q16" s="160" t="str">
        <f t="shared" si="3"/>
        <v>N/A</v>
      </c>
    </row>
    <row r="17" spans="1:17" ht="32" x14ac:dyDescent="0.25">
      <c r="A17" s="270"/>
      <c r="B17" s="258" t="s">
        <v>219</v>
      </c>
      <c r="C17" s="92" t="s">
        <v>454</v>
      </c>
      <c r="D17" s="129" t="s">
        <v>506</v>
      </c>
      <c r="E17" s="149" t="s">
        <v>502</v>
      </c>
      <c r="F17" s="149" t="s">
        <v>502</v>
      </c>
      <c r="G17" s="149" t="s">
        <v>502</v>
      </c>
      <c r="H17" s="149" t="s">
        <v>502</v>
      </c>
      <c r="I17" s="149" t="s">
        <v>502</v>
      </c>
      <c r="J17" s="149" t="s">
        <v>502</v>
      </c>
      <c r="K17" s="149" t="s">
        <v>502</v>
      </c>
      <c r="L17" s="149" t="s">
        <v>502</v>
      </c>
      <c r="M17" s="149" t="s">
        <v>502</v>
      </c>
      <c r="N17" s="131">
        <f t="shared" si="0"/>
        <v>9</v>
      </c>
      <c r="O17" s="132">
        <f t="shared" si="1"/>
        <v>0</v>
      </c>
      <c r="P17" s="133">
        <f t="shared" si="2"/>
        <v>0</v>
      </c>
      <c r="Q17" s="159">
        <f t="shared" si="3"/>
        <v>1</v>
      </c>
    </row>
    <row r="18" spans="1:17" ht="32" x14ac:dyDescent="0.25">
      <c r="A18" s="270"/>
      <c r="B18" s="271"/>
      <c r="C18" s="92" t="s">
        <v>455</v>
      </c>
      <c r="D18" s="166" t="s">
        <v>505</v>
      </c>
      <c r="E18" s="149" t="s">
        <v>502</v>
      </c>
      <c r="F18" s="149" t="s">
        <v>502</v>
      </c>
      <c r="G18" s="149" t="s">
        <v>502</v>
      </c>
      <c r="H18" s="149" t="s">
        <v>502</v>
      </c>
      <c r="I18" s="149" t="s">
        <v>502</v>
      </c>
      <c r="J18" s="149" t="s">
        <v>502</v>
      </c>
      <c r="K18" s="149" t="s">
        <v>502</v>
      </c>
      <c r="L18" s="149" t="s">
        <v>502</v>
      </c>
      <c r="M18" s="149" t="s">
        <v>502</v>
      </c>
      <c r="N18" s="131">
        <f t="shared" si="0"/>
        <v>9</v>
      </c>
      <c r="O18" s="132">
        <f t="shared" si="1"/>
        <v>0</v>
      </c>
      <c r="P18" s="133">
        <f t="shared" si="2"/>
        <v>0</v>
      </c>
      <c r="Q18" s="159">
        <f t="shared" si="3"/>
        <v>1</v>
      </c>
    </row>
    <row r="19" spans="1:17" ht="32" x14ac:dyDescent="0.25">
      <c r="A19" s="270"/>
      <c r="B19" s="271"/>
      <c r="C19" s="99" t="s">
        <v>456</v>
      </c>
      <c r="D19" s="130" t="s">
        <v>506</v>
      </c>
      <c r="E19" s="149" t="s">
        <v>502</v>
      </c>
      <c r="F19" s="149" t="s">
        <v>502</v>
      </c>
      <c r="G19" s="149" t="s">
        <v>502</v>
      </c>
      <c r="H19" s="149" t="s">
        <v>502</v>
      </c>
      <c r="I19" s="149" t="s">
        <v>502</v>
      </c>
      <c r="J19" s="149" t="s">
        <v>502</v>
      </c>
      <c r="K19" s="149" t="s">
        <v>502</v>
      </c>
      <c r="L19" s="149" t="s">
        <v>502</v>
      </c>
      <c r="M19" s="149" t="s">
        <v>502</v>
      </c>
      <c r="N19" s="137">
        <f t="shared" si="0"/>
        <v>9</v>
      </c>
      <c r="O19" s="138">
        <f t="shared" si="1"/>
        <v>0</v>
      </c>
      <c r="P19" s="139">
        <f t="shared" si="2"/>
        <v>0</v>
      </c>
      <c r="Q19" s="161">
        <f t="shared" si="3"/>
        <v>1</v>
      </c>
    </row>
    <row r="20" spans="1:17" ht="32" x14ac:dyDescent="0.25">
      <c r="A20" s="268" t="s">
        <v>211</v>
      </c>
      <c r="B20" s="89" t="s">
        <v>220</v>
      </c>
      <c r="C20" s="90" t="s">
        <v>457</v>
      </c>
      <c r="D20" s="165" t="s">
        <v>505</v>
      </c>
      <c r="E20" s="149" t="s">
        <v>502</v>
      </c>
      <c r="F20" s="149" t="s">
        <v>502</v>
      </c>
      <c r="G20" s="149" t="s">
        <v>502</v>
      </c>
      <c r="H20" s="149" t="s">
        <v>502</v>
      </c>
      <c r="I20" s="149" t="s">
        <v>502</v>
      </c>
      <c r="J20" s="149" t="s">
        <v>502</v>
      </c>
      <c r="K20" s="149" t="s">
        <v>502</v>
      </c>
      <c r="L20" s="149" t="s">
        <v>502</v>
      </c>
      <c r="M20" s="149" t="s">
        <v>502</v>
      </c>
      <c r="N20" s="140">
        <f t="shared" si="0"/>
        <v>9</v>
      </c>
      <c r="O20" s="141">
        <f t="shared" si="1"/>
        <v>0</v>
      </c>
      <c r="P20" s="142">
        <f t="shared" si="2"/>
        <v>0</v>
      </c>
      <c r="Q20" s="162">
        <f t="shared" si="3"/>
        <v>1</v>
      </c>
    </row>
    <row r="21" spans="1:17" ht="48" x14ac:dyDescent="0.25">
      <c r="A21" s="270"/>
      <c r="B21" s="94" t="s">
        <v>221</v>
      </c>
      <c r="C21" s="92" t="s">
        <v>458</v>
      </c>
      <c r="D21" s="166" t="s">
        <v>505</v>
      </c>
      <c r="E21" s="149" t="s">
        <v>502</v>
      </c>
      <c r="F21" s="149" t="s">
        <v>502</v>
      </c>
      <c r="G21" s="149" t="s">
        <v>502</v>
      </c>
      <c r="H21" s="149" t="s">
        <v>502</v>
      </c>
      <c r="I21" s="149" t="s">
        <v>502</v>
      </c>
      <c r="J21" s="149" t="s">
        <v>502</v>
      </c>
      <c r="K21" s="149" t="s">
        <v>502</v>
      </c>
      <c r="L21" s="149" t="s">
        <v>502</v>
      </c>
      <c r="M21" s="149" t="s">
        <v>502</v>
      </c>
      <c r="N21" s="131">
        <f t="shared" si="0"/>
        <v>9</v>
      </c>
      <c r="O21" s="132">
        <f t="shared" si="1"/>
        <v>0</v>
      </c>
      <c r="P21" s="133">
        <f t="shared" si="2"/>
        <v>0</v>
      </c>
      <c r="Q21" s="159">
        <f t="shared" si="3"/>
        <v>1</v>
      </c>
    </row>
    <row r="22" spans="1:17" ht="32" x14ac:dyDescent="0.25">
      <c r="A22" s="270"/>
      <c r="B22" s="258" t="s">
        <v>222</v>
      </c>
      <c r="C22" s="92" t="s">
        <v>459</v>
      </c>
      <c r="D22" s="129" t="s">
        <v>506</v>
      </c>
      <c r="E22" s="149" t="s">
        <v>502</v>
      </c>
      <c r="F22" s="149" t="s">
        <v>502</v>
      </c>
      <c r="G22" s="149" t="s">
        <v>502</v>
      </c>
      <c r="H22" s="149" t="s">
        <v>502</v>
      </c>
      <c r="I22" s="149" t="s">
        <v>502</v>
      </c>
      <c r="J22" s="149" t="s">
        <v>502</v>
      </c>
      <c r="K22" s="149" t="s">
        <v>502</v>
      </c>
      <c r="L22" s="149" t="s">
        <v>502</v>
      </c>
      <c r="M22" s="149" t="s">
        <v>502</v>
      </c>
      <c r="N22" s="134">
        <f t="shared" si="0"/>
        <v>9</v>
      </c>
      <c r="O22" s="135">
        <f t="shared" si="1"/>
        <v>0</v>
      </c>
      <c r="P22" s="136">
        <f t="shared" si="2"/>
        <v>0</v>
      </c>
      <c r="Q22" s="160">
        <f t="shared" si="3"/>
        <v>1</v>
      </c>
    </row>
    <row r="23" spans="1:17" ht="32" x14ac:dyDescent="0.25">
      <c r="A23" s="270"/>
      <c r="B23" s="259"/>
      <c r="C23" s="92" t="s">
        <v>460</v>
      </c>
      <c r="D23" s="129" t="s">
        <v>506</v>
      </c>
      <c r="E23" s="149" t="s">
        <v>502</v>
      </c>
      <c r="F23" s="149" t="s">
        <v>502</v>
      </c>
      <c r="G23" s="149" t="s">
        <v>502</v>
      </c>
      <c r="H23" s="149" t="s">
        <v>502</v>
      </c>
      <c r="I23" s="149" t="s">
        <v>502</v>
      </c>
      <c r="J23" s="149" t="s">
        <v>502</v>
      </c>
      <c r="K23" s="149" t="s">
        <v>502</v>
      </c>
      <c r="L23" s="149" t="s">
        <v>502</v>
      </c>
      <c r="M23" s="149" t="s">
        <v>502</v>
      </c>
      <c r="N23" s="131">
        <f t="shared" si="0"/>
        <v>9</v>
      </c>
      <c r="O23" s="132">
        <f t="shared" si="1"/>
        <v>0</v>
      </c>
      <c r="P23" s="133">
        <f t="shared" si="2"/>
        <v>0</v>
      </c>
      <c r="Q23" s="159">
        <f t="shared" si="3"/>
        <v>1</v>
      </c>
    </row>
    <row r="24" spans="1:17" ht="32" x14ac:dyDescent="0.25">
      <c r="A24" s="270"/>
      <c r="B24" s="258" t="s">
        <v>223</v>
      </c>
      <c r="C24" s="92" t="s">
        <v>461</v>
      </c>
      <c r="D24" s="166" t="s">
        <v>505</v>
      </c>
      <c r="E24" s="149" t="s">
        <v>502</v>
      </c>
      <c r="F24" s="149" t="s">
        <v>502</v>
      </c>
      <c r="G24" s="149" t="s">
        <v>502</v>
      </c>
      <c r="H24" s="149" t="s">
        <v>502</v>
      </c>
      <c r="I24" s="149" t="s">
        <v>502</v>
      </c>
      <c r="J24" s="149" t="s">
        <v>502</v>
      </c>
      <c r="K24" s="149" t="s">
        <v>502</v>
      </c>
      <c r="L24" s="149" t="s">
        <v>502</v>
      </c>
      <c r="M24" s="149" t="s">
        <v>502</v>
      </c>
      <c r="N24" s="131">
        <f t="shared" si="0"/>
        <v>9</v>
      </c>
      <c r="O24" s="132">
        <f t="shared" si="1"/>
        <v>0</v>
      </c>
      <c r="P24" s="133">
        <f t="shared" si="2"/>
        <v>0</v>
      </c>
      <c r="Q24" s="159">
        <f t="shared" si="3"/>
        <v>1</v>
      </c>
    </row>
    <row r="25" spans="1:17" ht="32" x14ac:dyDescent="0.25">
      <c r="A25" s="269"/>
      <c r="B25" s="261"/>
      <c r="C25" s="93" t="s">
        <v>462</v>
      </c>
      <c r="D25" s="130" t="s">
        <v>506</v>
      </c>
      <c r="E25" s="149" t="s">
        <v>502</v>
      </c>
      <c r="F25" s="149" t="s">
        <v>502</v>
      </c>
      <c r="G25" s="149" t="s">
        <v>502</v>
      </c>
      <c r="H25" s="149" t="s">
        <v>502</v>
      </c>
      <c r="I25" s="149" t="s">
        <v>502</v>
      </c>
      <c r="J25" s="149" t="s">
        <v>502</v>
      </c>
      <c r="K25" s="149" t="s">
        <v>502</v>
      </c>
      <c r="L25" s="149" t="s">
        <v>502</v>
      </c>
      <c r="M25" s="149" t="s">
        <v>502</v>
      </c>
      <c r="N25" s="143">
        <f t="shared" si="0"/>
        <v>9</v>
      </c>
      <c r="O25" s="144">
        <f t="shared" si="1"/>
        <v>0</v>
      </c>
      <c r="P25" s="145">
        <f t="shared" si="2"/>
        <v>0</v>
      </c>
      <c r="Q25" s="163">
        <f t="shared" si="3"/>
        <v>1</v>
      </c>
    </row>
    <row r="26" spans="1:17" ht="48" x14ac:dyDescent="0.25">
      <c r="A26" s="268" t="s">
        <v>212</v>
      </c>
      <c r="B26" s="89" t="s">
        <v>224</v>
      </c>
      <c r="C26" s="100" t="s">
        <v>463</v>
      </c>
      <c r="D26" s="167" t="s">
        <v>505</v>
      </c>
      <c r="E26" s="149" t="s">
        <v>502</v>
      </c>
      <c r="F26" s="149" t="s">
        <v>502</v>
      </c>
      <c r="G26" s="149" t="s">
        <v>502</v>
      </c>
      <c r="H26" s="149" t="s">
        <v>502</v>
      </c>
      <c r="I26" s="149" t="s">
        <v>502</v>
      </c>
      <c r="J26" s="149" t="s">
        <v>502</v>
      </c>
      <c r="K26" s="149" t="s">
        <v>502</v>
      </c>
      <c r="L26" s="149" t="s">
        <v>502</v>
      </c>
      <c r="M26" s="149" t="s">
        <v>502</v>
      </c>
      <c r="N26" s="140">
        <f t="shared" si="0"/>
        <v>9</v>
      </c>
      <c r="O26" s="141">
        <f t="shared" si="1"/>
        <v>0</v>
      </c>
      <c r="P26" s="142">
        <f t="shared" si="2"/>
        <v>0</v>
      </c>
      <c r="Q26" s="162">
        <f t="shared" si="3"/>
        <v>1</v>
      </c>
    </row>
    <row r="27" spans="1:17" ht="32.5" thickBot="1" x14ac:dyDescent="0.3">
      <c r="A27" s="269"/>
      <c r="B27" s="95" t="s">
        <v>225</v>
      </c>
      <c r="C27" s="93" t="s">
        <v>464</v>
      </c>
      <c r="D27" s="130" t="s">
        <v>506</v>
      </c>
      <c r="E27" s="150" t="s">
        <v>501</v>
      </c>
      <c r="F27" s="150" t="s">
        <v>501</v>
      </c>
      <c r="G27" s="150" t="s">
        <v>501</v>
      </c>
      <c r="H27" s="150" t="s">
        <v>501</v>
      </c>
      <c r="I27" s="150" t="s">
        <v>501</v>
      </c>
      <c r="J27" s="150" t="s">
        <v>501</v>
      </c>
      <c r="K27" s="150" t="s">
        <v>501</v>
      </c>
      <c r="L27" s="150" t="s">
        <v>501</v>
      </c>
      <c r="M27" s="150" t="s">
        <v>501</v>
      </c>
      <c r="N27" s="146">
        <f t="shared" si="0"/>
        <v>0</v>
      </c>
      <c r="O27" s="147">
        <f t="shared" si="1"/>
        <v>0</v>
      </c>
      <c r="P27" s="148">
        <f t="shared" si="2"/>
        <v>9</v>
      </c>
      <c r="Q27" s="164" t="str">
        <f t="shared" si="3"/>
        <v>N/A</v>
      </c>
    </row>
    <row r="28" spans="1:17" ht="19.5" customHeight="1" x14ac:dyDescent="0.25"/>
    <row r="29" spans="1:17" ht="19.5" customHeight="1" x14ac:dyDescent="0.25"/>
    <row r="30" spans="1:17" ht="19.5" customHeight="1" x14ac:dyDescent="0.25"/>
    <row r="31" spans="1:17" ht="19.5" customHeight="1" x14ac:dyDescent="0.25"/>
    <row r="32" spans="1:17"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sheetData>
  <mergeCells count="17">
    <mergeCell ref="A26:A27"/>
    <mergeCell ref="A4:A10"/>
    <mergeCell ref="B6:B10"/>
    <mergeCell ref="B11:B13"/>
    <mergeCell ref="A11:A19"/>
    <mergeCell ref="B14:B15"/>
    <mergeCell ref="B17:B19"/>
    <mergeCell ref="A20:A25"/>
    <mergeCell ref="O2:O3"/>
    <mergeCell ref="P2:P3"/>
    <mergeCell ref="B22:B23"/>
    <mergeCell ref="A1:Q1"/>
    <mergeCell ref="B24:B25"/>
    <mergeCell ref="A2:C2"/>
    <mergeCell ref="Q2:Q3"/>
    <mergeCell ref="N2:N3"/>
    <mergeCell ref="E2:M2"/>
  </mergeCells>
  <phoneticPr fontId="2" type="noConversion"/>
  <printOptions horizontalCentered="1"/>
  <pageMargins left="0.25" right="0.25" top="0.75" bottom="0.75" header="0.3" footer="0.3"/>
  <pageSetup paperSize="9" scale="75" fitToHeight="0" orientation="landscape" r:id="rId1"/>
  <headerFooter>
    <oddHeader>&amp;L&amp;G&amp;R&amp;"+,보통"&amp;10&amp;F</oddHeader>
    <oddFooter>&amp;L&amp;"+,보통"&amp;10마이데이터 지원 플랫폼 구축(2차)&amp;R&amp;G</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구분선택!$A$1:$A$3</xm:f>
          </x14:formula1>
          <xm:sqref>E4:M27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F111"/>
  <sheetViews>
    <sheetView view="pageLayout" topLeftCell="A10" zoomScaleNormal="85" zoomScaleSheetLayoutView="100" workbookViewId="0">
      <selection activeCell="A3" sqref="A3"/>
    </sheetView>
  </sheetViews>
  <sheetFormatPr defaultColWidth="6.08203125" defaultRowHeight="16" x14ac:dyDescent="0.25"/>
  <cols>
    <col min="1" max="1" width="13.33203125" style="78" customWidth="1"/>
    <col min="2" max="2" width="22.25" style="83" customWidth="1"/>
    <col min="3" max="3" width="55.58203125" style="83" customWidth="1"/>
    <col min="4" max="4" width="6.6640625" style="84" customWidth="1"/>
    <col min="5" max="28" width="4.33203125" style="82" customWidth="1"/>
    <col min="29" max="31" width="6.6640625" style="82" customWidth="1"/>
    <col min="32" max="32" width="7.75" style="82" customWidth="1"/>
    <col min="33" max="16384" width="6.08203125" style="78"/>
  </cols>
  <sheetData>
    <row r="1" spans="1:32" s="96" customFormat="1" ht="45" customHeight="1" thickBot="1" x14ac:dyDescent="0.3">
      <c r="A1" s="260" t="s">
        <v>400</v>
      </c>
      <c r="B1" s="260"/>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22"/>
      <c r="AD1" s="222"/>
      <c r="AE1" s="222"/>
      <c r="AF1" s="260"/>
    </row>
    <row r="2" spans="1:32" s="96" customFormat="1" ht="19.5" customHeight="1" x14ac:dyDescent="0.25">
      <c r="A2" s="262" t="s">
        <v>468</v>
      </c>
      <c r="B2" s="263"/>
      <c r="C2" s="264"/>
      <c r="D2" s="127" t="s">
        <v>504</v>
      </c>
      <c r="E2" s="267" t="s">
        <v>560</v>
      </c>
      <c r="F2" s="244"/>
      <c r="G2" s="244"/>
      <c r="H2" s="244"/>
      <c r="I2" s="244"/>
      <c r="J2" s="244"/>
      <c r="K2" s="244"/>
      <c r="L2" s="244"/>
      <c r="M2" s="244"/>
      <c r="N2" s="244"/>
      <c r="O2" s="244"/>
      <c r="P2" s="244"/>
      <c r="Q2" s="244"/>
      <c r="R2" s="244"/>
      <c r="S2" s="244"/>
      <c r="T2" s="244"/>
      <c r="U2" s="244"/>
      <c r="V2" s="244"/>
      <c r="W2" s="244"/>
      <c r="X2" s="244"/>
      <c r="Y2" s="244"/>
      <c r="Z2" s="244"/>
      <c r="AA2" s="244"/>
      <c r="AB2" s="244"/>
      <c r="AC2" s="265" t="s">
        <v>485</v>
      </c>
      <c r="AD2" s="254" t="s">
        <v>486</v>
      </c>
      <c r="AE2" s="256" t="s">
        <v>178</v>
      </c>
      <c r="AF2" s="237" t="s">
        <v>487</v>
      </c>
    </row>
    <row r="3" spans="1:32" ht="97.5" customHeight="1" thickBot="1" x14ac:dyDescent="0.3">
      <c r="A3" s="127" t="s">
        <v>476</v>
      </c>
      <c r="B3" s="127" t="s">
        <v>475</v>
      </c>
      <c r="C3" s="127" t="s">
        <v>474</v>
      </c>
      <c r="D3" s="127" t="s">
        <v>507</v>
      </c>
      <c r="E3" s="117" t="s">
        <v>547</v>
      </c>
      <c r="F3" s="117" t="s">
        <v>522</v>
      </c>
      <c r="G3" s="117" t="s">
        <v>534</v>
      </c>
      <c r="H3" s="117" t="s">
        <v>550</v>
      </c>
      <c r="I3" s="117" t="s">
        <v>535</v>
      </c>
      <c r="J3" s="117" t="s">
        <v>551</v>
      </c>
      <c r="K3" s="117" t="s">
        <v>555</v>
      </c>
      <c r="L3" s="117" t="s">
        <v>536</v>
      </c>
      <c r="M3" s="117" t="s">
        <v>552</v>
      </c>
      <c r="N3" s="117" t="s">
        <v>537</v>
      </c>
      <c r="O3" s="117" t="s">
        <v>554</v>
      </c>
      <c r="P3" s="117" t="s">
        <v>553</v>
      </c>
      <c r="Q3" s="117" t="s">
        <v>538</v>
      </c>
      <c r="R3" s="117" t="s">
        <v>539</v>
      </c>
      <c r="S3" s="117" t="s">
        <v>540</v>
      </c>
      <c r="T3" s="117" t="s">
        <v>541</v>
      </c>
      <c r="U3" s="117" t="s">
        <v>542</v>
      </c>
      <c r="V3" s="117" t="s">
        <v>543</v>
      </c>
      <c r="W3" s="117" t="s">
        <v>544</v>
      </c>
      <c r="X3" s="117" t="s">
        <v>545</v>
      </c>
      <c r="Y3" s="117" t="s">
        <v>546</v>
      </c>
      <c r="Z3" s="117" t="s">
        <v>548</v>
      </c>
      <c r="AA3" s="117" t="s">
        <v>545</v>
      </c>
      <c r="AB3" s="117" t="s">
        <v>559</v>
      </c>
      <c r="AC3" s="266"/>
      <c r="AD3" s="255"/>
      <c r="AE3" s="257"/>
      <c r="AF3" s="238"/>
    </row>
    <row r="4" spans="1:32" ht="48" x14ac:dyDescent="0.25">
      <c r="A4" s="268" t="s">
        <v>477</v>
      </c>
      <c r="B4" s="89" t="s">
        <v>562</v>
      </c>
      <c r="C4" s="90" t="s">
        <v>443</v>
      </c>
      <c r="D4" s="165" t="s">
        <v>505</v>
      </c>
      <c r="E4" s="149" t="s">
        <v>502</v>
      </c>
      <c r="F4" s="149" t="s">
        <v>502</v>
      </c>
      <c r="G4" s="149" t="s">
        <v>502</v>
      </c>
      <c r="H4" s="149" t="s">
        <v>502</v>
      </c>
      <c r="I4" s="149" t="s">
        <v>502</v>
      </c>
      <c r="J4" s="149" t="s">
        <v>502</v>
      </c>
      <c r="K4" s="149" t="s">
        <v>502</v>
      </c>
      <c r="L4" s="149" t="s">
        <v>502</v>
      </c>
      <c r="M4" s="149" t="s">
        <v>502</v>
      </c>
      <c r="N4" s="149" t="s">
        <v>502</v>
      </c>
      <c r="O4" s="149" t="s">
        <v>502</v>
      </c>
      <c r="P4" s="149" t="s">
        <v>502</v>
      </c>
      <c r="Q4" s="149" t="s">
        <v>502</v>
      </c>
      <c r="R4" s="149" t="s">
        <v>502</v>
      </c>
      <c r="S4" s="149" t="s">
        <v>502</v>
      </c>
      <c r="T4" s="149" t="s">
        <v>502</v>
      </c>
      <c r="U4" s="149" t="s">
        <v>502</v>
      </c>
      <c r="V4" s="149" t="s">
        <v>502</v>
      </c>
      <c r="W4" s="149" t="s">
        <v>502</v>
      </c>
      <c r="X4" s="149" t="s">
        <v>502</v>
      </c>
      <c r="Y4" s="149" t="s">
        <v>502</v>
      </c>
      <c r="Z4" s="149" t="s">
        <v>502</v>
      </c>
      <c r="AA4" s="149" t="s">
        <v>502</v>
      </c>
      <c r="AB4" s="149" t="s">
        <v>502</v>
      </c>
      <c r="AC4" s="155">
        <f t="shared" ref="AC4:AC27" si="0">COUNTIF(E4:AB4,"P")</f>
        <v>24</v>
      </c>
      <c r="AD4" s="156">
        <f t="shared" ref="AD4:AD27" si="1">COUNTIF(E4:AB4,"F")</f>
        <v>0</v>
      </c>
      <c r="AE4" s="157">
        <f t="shared" ref="AE4:AE27" si="2">COUNTIF(E4:AB4,"N/A")</f>
        <v>0</v>
      </c>
      <c r="AF4" s="158">
        <f>IF((AC4+AD4)=0,"N/A",AC4/(AC4+AD4))</f>
        <v>1</v>
      </c>
    </row>
    <row r="5" spans="1:32" ht="32" x14ac:dyDescent="0.25">
      <c r="A5" s="270"/>
      <c r="B5" s="91" t="s">
        <v>214</v>
      </c>
      <c r="C5" s="92" t="s">
        <v>444</v>
      </c>
      <c r="D5" s="129" t="s">
        <v>506</v>
      </c>
      <c r="E5" s="150" t="s">
        <v>501</v>
      </c>
      <c r="F5" s="150" t="s">
        <v>501</v>
      </c>
      <c r="G5" s="150" t="s">
        <v>501</v>
      </c>
      <c r="H5" s="150" t="s">
        <v>501</v>
      </c>
      <c r="I5" s="150" t="s">
        <v>501</v>
      </c>
      <c r="J5" s="150" t="s">
        <v>501</v>
      </c>
      <c r="K5" s="150" t="s">
        <v>501</v>
      </c>
      <c r="L5" s="150" t="s">
        <v>501</v>
      </c>
      <c r="M5" s="150" t="s">
        <v>501</v>
      </c>
      <c r="N5" s="150" t="s">
        <v>501</v>
      </c>
      <c r="O5" s="150" t="s">
        <v>501</v>
      </c>
      <c r="P5" s="150" t="s">
        <v>501</v>
      </c>
      <c r="Q5" s="150" t="s">
        <v>501</v>
      </c>
      <c r="R5" s="150" t="s">
        <v>501</v>
      </c>
      <c r="S5" s="150" t="s">
        <v>501</v>
      </c>
      <c r="T5" s="150" t="s">
        <v>501</v>
      </c>
      <c r="U5" s="150" t="s">
        <v>501</v>
      </c>
      <c r="V5" s="150" t="s">
        <v>501</v>
      </c>
      <c r="W5" s="150" t="s">
        <v>501</v>
      </c>
      <c r="X5" s="150" t="s">
        <v>501</v>
      </c>
      <c r="Y5" s="150" t="s">
        <v>501</v>
      </c>
      <c r="Z5" s="150" t="s">
        <v>501</v>
      </c>
      <c r="AA5" s="150" t="s">
        <v>501</v>
      </c>
      <c r="AB5" s="150" t="s">
        <v>501</v>
      </c>
      <c r="AC5" s="131">
        <f t="shared" si="0"/>
        <v>0</v>
      </c>
      <c r="AD5" s="132">
        <f t="shared" si="1"/>
        <v>0</v>
      </c>
      <c r="AE5" s="133">
        <f t="shared" si="2"/>
        <v>24</v>
      </c>
      <c r="AF5" s="159" t="str">
        <f t="shared" ref="AF5:AF27" si="3">IF((AC5+AD5)=0,"N/A",AC5/(AC5+AD5))</f>
        <v>N/A</v>
      </c>
    </row>
    <row r="6" spans="1:32" ht="32" x14ac:dyDescent="0.25">
      <c r="A6" s="270"/>
      <c r="B6" s="258" t="s">
        <v>215</v>
      </c>
      <c r="C6" s="92" t="s">
        <v>445</v>
      </c>
      <c r="D6" s="129" t="s">
        <v>506</v>
      </c>
      <c r="E6" s="149" t="s">
        <v>502</v>
      </c>
      <c r="F6" s="149" t="s">
        <v>502</v>
      </c>
      <c r="G6" s="149" t="s">
        <v>502</v>
      </c>
      <c r="H6" s="149" t="s">
        <v>502</v>
      </c>
      <c r="I6" s="149" t="s">
        <v>502</v>
      </c>
      <c r="J6" s="149" t="s">
        <v>502</v>
      </c>
      <c r="K6" s="149" t="s">
        <v>502</v>
      </c>
      <c r="L6" s="149" t="s">
        <v>502</v>
      </c>
      <c r="M6" s="149" t="s">
        <v>502</v>
      </c>
      <c r="N6" s="149" t="s">
        <v>502</v>
      </c>
      <c r="O6" s="149" t="s">
        <v>502</v>
      </c>
      <c r="P6" s="149" t="s">
        <v>502</v>
      </c>
      <c r="Q6" s="149" t="s">
        <v>502</v>
      </c>
      <c r="R6" s="149" t="s">
        <v>502</v>
      </c>
      <c r="S6" s="149" t="s">
        <v>502</v>
      </c>
      <c r="T6" s="149" t="s">
        <v>502</v>
      </c>
      <c r="U6" s="149" t="s">
        <v>502</v>
      </c>
      <c r="V6" s="149" t="s">
        <v>502</v>
      </c>
      <c r="W6" s="149" t="s">
        <v>502</v>
      </c>
      <c r="X6" s="149" t="s">
        <v>502</v>
      </c>
      <c r="Y6" s="149" t="s">
        <v>502</v>
      </c>
      <c r="Z6" s="149" t="s">
        <v>502</v>
      </c>
      <c r="AA6" s="149" t="s">
        <v>502</v>
      </c>
      <c r="AB6" s="149" t="s">
        <v>502</v>
      </c>
      <c r="AC6" s="131">
        <f t="shared" si="0"/>
        <v>24</v>
      </c>
      <c r="AD6" s="132">
        <f t="shared" si="1"/>
        <v>0</v>
      </c>
      <c r="AE6" s="133">
        <f t="shared" si="2"/>
        <v>0</v>
      </c>
      <c r="AF6" s="159">
        <f t="shared" si="3"/>
        <v>1</v>
      </c>
    </row>
    <row r="7" spans="1:32" ht="48" x14ac:dyDescent="0.25">
      <c r="A7" s="270"/>
      <c r="B7" s="271"/>
      <c r="C7" s="92" t="s">
        <v>446</v>
      </c>
      <c r="D7" s="129" t="s">
        <v>506</v>
      </c>
      <c r="E7" s="149" t="s">
        <v>502</v>
      </c>
      <c r="F7" s="149" t="s">
        <v>502</v>
      </c>
      <c r="G7" s="149" t="s">
        <v>502</v>
      </c>
      <c r="H7" s="149" t="s">
        <v>502</v>
      </c>
      <c r="I7" s="149" t="s">
        <v>502</v>
      </c>
      <c r="J7" s="149" t="s">
        <v>502</v>
      </c>
      <c r="K7" s="149" t="s">
        <v>502</v>
      </c>
      <c r="L7" s="149" t="s">
        <v>502</v>
      </c>
      <c r="M7" s="149" t="s">
        <v>502</v>
      </c>
      <c r="N7" s="149" t="s">
        <v>502</v>
      </c>
      <c r="O7" s="149" t="s">
        <v>502</v>
      </c>
      <c r="P7" s="149" t="s">
        <v>502</v>
      </c>
      <c r="Q7" s="149" t="s">
        <v>502</v>
      </c>
      <c r="R7" s="149" t="s">
        <v>502</v>
      </c>
      <c r="S7" s="149" t="s">
        <v>502</v>
      </c>
      <c r="T7" s="149" t="s">
        <v>502</v>
      </c>
      <c r="U7" s="149" t="s">
        <v>502</v>
      </c>
      <c r="V7" s="149" t="s">
        <v>502</v>
      </c>
      <c r="W7" s="149" t="s">
        <v>502</v>
      </c>
      <c r="X7" s="149" t="s">
        <v>502</v>
      </c>
      <c r="Y7" s="149" t="s">
        <v>502</v>
      </c>
      <c r="Z7" s="149" t="s">
        <v>502</v>
      </c>
      <c r="AA7" s="149" t="s">
        <v>502</v>
      </c>
      <c r="AB7" s="149" t="s">
        <v>502</v>
      </c>
      <c r="AC7" s="131">
        <f t="shared" si="0"/>
        <v>24</v>
      </c>
      <c r="AD7" s="132">
        <f t="shared" si="1"/>
        <v>0</v>
      </c>
      <c r="AE7" s="133">
        <f t="shared" si="2"/>
        <v>0</v>
      </c>
      <c r="AF7" s="159">
        <f t="shared" si="3"/>
        <v>1</v>
      </c>
    </row>
    <row r="8" spans="1:32" ht="32" x14ac:dyDescent="0.25">
      <c r="A8" s="270"/>
      <c r="B8" s="271"/>
      <c r="C8" s="92" t="s">
        <v>556</v>
      </c>
      <c r="D8" s="129" t="s">
        <v>506</v>
      </c>
      <c r="E8" s="150" t="s">
        <v>502</v>
      </c>
      <c r="F8" s="150" t="s">
        <v>502</v>
      </c>
      <c r="G8" s="150" t="s">
        <v>502</v>
      </c>
      <c r="H8" s="150" t="s">
        <v>502</v>
      </c>
      <c r="I8" s="150" t="s">
        <v>502</v>
      </c>
      <c r="J8" s="150" t="s">
        <v>502</v>
      </c>
      <c r="K8" s="150" t="s">
        <v>502</v>
      </c>
      <c r="L8" s="150" t="s">
        <v>502</v>
      </c>
      <c r="M8" s="150" t="s">
        <v>502</v>
      </c>
      <c r="N8" s="150" t="s">
        <v>502</v>
      </c>
      <c r="O8" s="150" t="s">
        <v>502</v>
      </c>
      <c r="P8" s="150" t="s">
        <v>502</v>
      </c>
      <c r="Q8" s="150" t="s">
        <v>502</v>
      </c>
      <c r="R8" s="150" t="s">
        <v>502</v>
      </c>
      <c r="S8" s="150" t="s">
        <v>502</v>
      </c>
      <c r="T8" s="150" t="s">
        <v>502</v>
      </c>
      <c r="U8" s="150" t="s">
        <v>502</v>
      </c>
      <c r="V8" s="150" t="s">
        <v>502</v>
      </c>
      <c r="W8" s="150" t="s">
        <v>502</v>
      </c>
      <c r="X8" s="150" t="s">
        <v>502</v>
      </c>
      <c r="Y8" s="150" t="s">
        <v>502</v>
      </c>
      <c r="Z8" s="150" t="s">
        <v>502</v>
      </c>
      <c r="AA8" s="150" t="s">
        <v>502</v>
      </c>
      <c r="AB8" s="150" t="s">
        <v>502</v>
      </c>
      <c r="AC8" s="131">
        <f t="shared" si="0"/>
        <v>24</v>
      </c>
      <c r="AD8" s="132">
        <f t="shared" si="1"/>
        <v>0</v>
      </c>
      <c r="AE8" s="133">
        <f t="shared" si="2"/>
        <v>0</v>
      </c>
      <c r="AF8" s="159">
        <f t="shared" si="3"/>
        <v>1</v>
      </c>
    </row>
    <row r="9" spans="1:32" ht="32" x14ac:dyDescent="0.25">
      <c r="A9" s="270"/>
      <c r="B9" s="271"/>
      <c r="C9" s="92" t="s">
        <v>447</v>
      </c>
      <c r="D9" s="129" t="s">
        <v>506</v>
      </c>
      <c r="E9" s="151" t="s">
        <v>501</v>
      </c>
      <c r="F9" s="151" t="s">
        <v>501</v>
      </c>
      <c r="G9" s="151" t="s">
        <v>501</v>
      </c>
      <c r="H9" s="151" t="s">
        <v>501</v>
      </c>
      <c r="I9" s="151" t="s">
        <v>501</v>
      </c>
      <c r="J9" s="151" t="s">
        <v>501</v>
      </c>
      <c r="K9" s="151" t="s">
        <v>501</v>
      </c>
      <c r="L9" s="151" t="s">
        <v>501</v>
      </c>
      <c r="M9" s="151" t="s">
        <v>501</v>
      </c>
      <c r="N9" s="151" t="s">
        <v>501</v>
      </c>
      <c r="O9" s="151" t="s">
        <v>501</v>
      </c>
      <c r="P9" s="151" t="s">
        <v>501</v>
      </c>
      <c r="Q9" s="151" t="s">
        <v>501</v>
      </c>
      <c r="R9" s="151" t="s">
        <v>501</v>
      </c>
      <c r="S9" s="151" t="s">
        <v>501</v>
      </c>
      <c r="T9" s="151" t="s">
        <v>501</v>
      </c>
      <c r="U9" s="151" t="s">
        <v>501</v>
      </c>
      <c r="V9" s="151" t="s">
        <v>501</v>
      </c>
      <c r="W9" s="151" t="s">
        <v>501</v>
      </c>
      <c r="X9" s="151" t="s">
        <v>501</v>
      </c>
      <c r="Y9" s="151" t="s">
        <v>501</v>
      </c>
      <c r="Z9" s="151" t="s">
        <v>501</v>
      </c>
      <c r="AA9" s="151" t="s">
        <v>501</v>
      </c>
      <c r="AB9" s="151" t="s">
        <v>501</v>
      </c>
      <c r="AC9" s="134">
        <f t="shared" si="0"/>
        <v>0</v>
      </c>
      <c r="AD9" s="135">
        <f t="shared" si="1"/>
        <v>0</v>
      </c>
      <c r="AE9" s="136">
        <f t="shared" si="2"/>
        <v>24</v>
      </c>
      <c r="AF9" s="160" t="str">
        <f t="shared" si="3"/>
        <v>N/A</v>
      </c>
    </row>
    <row r="10" spans="1:32" ht="32" x14ac:dyDescent="0.25">
      <c r="A10" s="269"/>
      <c r="B10" s="261"/>
      <c r="C10" s="93" t="s">
        <v>448</v>
      </c>
      <c r="D10" s="130" t="s">
        <v>506</v>
      </c>
      <c r="E10" s="151" t="s">
        <v>502</v>
      </c>
      <c r="F10" s="151" t="s">
        <v>502</v>
      </c>
      <c r="G10" s="151" t="s">
        <v>502</v>
      </c>
      <c r="H10" s="151" t="s">
        <v>502</v>
      </c>
      <c r="I10" s="151" t="s">
        <v>502</v>
      </c>
      <c r="J10" s="151" t="s">
        <v>502</v>
      </c>
      <c r="K10" s="151" t="s">
        <v>502</v>
      </c>
      <c r="L10" s="151" t="s">
        <v>502</v>
      </c>
      <c r="M10" s="151" t="s">
        <v>502</v>
      </c>
      <c r="N10" s="151" t="s">
        <v>502</v>
      </c>
      <c r="O10" s="151" t="s">
        <v>502</v>
      </c>
      <c r="P10" s="151" t="s">
        <v>502</v>
      </c>
      <c r="Q10" s="151" t="s">
        <v>502</v>
      </c>
      <c r="R10" s="151" t="s">
        <v>502</v>
      </c>
      <c r="S10" s="151" t="s">
        <v>502</v>
      </c>
      <c r="T10" s="151" t="s">
        <v>502</v>
      </c>
      <c r="U10" s="151" t="s">
        <v>502</v>
      </c>
      <c r="V10" s="151" t="s">
        <v>502</v>
      </c>
      <c r="W10" s="151" t="s">
        <v>502</v>
      </c>
      <c r="X10" s="151" t="s">
        <v>502</v>
      </c>
      <c r="Y10" s="151" t="s">
        <v>502</v>
      </c>
      <c r="Z10" s="151" t="s">
        <v>502</v>
      </c>
      <c r="AA10" s="151" t="s">
        <v>502</v>
      </c>
      <c r="AB10" s="151" t="s">
        <v>502</v>
      </c>
      <c r="AC10" s="137">
        <f t="shared" si="0"/>
        <v>24</v>
      </c>
      <c r="AD10" s="138">
        <f t="shared" si="1"/>
        <v>0</v>
      </c>
      <c r="AE10" s="139">
        <f t="shared" si="2"/>
        <v>0</v>
      </c>
      <c r="AF10" s="161">
        <f t="shared" si="3"/>
        <v>1</v>
      </c>
    </row>
    <row r="11" spans="1:32" ht="32" x14ac:dyDescent="0.25">
      <c r="A11" s="268" t="s">
        <v>210</v>
      </c>
      <c r="B11" s="272" t="s">
        <v>216</v>
      </c>
      <c r="C11" s="90" t="s">
        <v>449</v>
      </c>
      <c r="D11" s="128" t="s">
        <v>506</v>
      </c>
      <c r="E11" s="153" t="s">
        <v>502</v>
      </c>
      <c r="F11" s="153" t="s">
        <v>502</v>
      </c>
      <c r="G11" s="153" t="s">
        <v>502</v>
      </c>
      <c r="H11" s="153" t="s">
        <v>502</v>
      </c>
      <c r="I11" s="153" t="s">
        <v>502</v>
      </c>
      <c r="J11" s="153" t="s">
        <v>502</v>
      </c>
      <c r="K11" s="153" t="s">
        <v>502</v>
      </c>
      <c r="L11" s="153" t="s">
        <v>502</v>
      </c>
      <c r="M11" s="153" t="s">
        <v>502</v>
      </c>
      <c r="N11" s="153" t="s">
        <v>502</v>
      </c>
      <c r="O11" s="153" t="s">
        <v>502</v>
      </c>
      <c r="P11" s="153" t="s">
        <v>502</v>
      </c>
      <c r="Q11" s="153" t="s">
        <v>502</v>
      </c>
      <c r="R11" s="153" t="s">
        <v>502</v>
      </c>
      <c r="S11" s="153" t="s">
        <v>502</v>
      </c>
      <c r="T11" s="153" t="s">
        <v>502</v>
      </c>
      <c r="U11" s="153" t="s">
        <v>502</v>
      </c>
      <c r="V11" s="153" t="s">
        <v>502</v>
      </c>
      <c r="W11" s="153" t="s">
        <v>502</v>
      </c>
      <c r="X11" s="153" t="s">
        <v>502</v>
      </c>
      <c r="Y11" s="153" t="s">
        <v>502</v>
      </c>
      <c r="Z11" s="153" t="s">
        <v>502</v>
      </c>
      <c r="AA11" s="153" t="s">
        <v>502</v>
      </c>
      <c r="AB11" s="153" t="s">
        <v>502</v>
      </c>
      <c r="AC11" s="140">
        <f t="shared" si="0"/>
        <v>24</v>
      </c>
      <c r="AD11" s="141">
        <f t="shared" si="1"/>
        <v>0</v>
      </c>
      <c r="AE11" s="142">
        <f t="shared" si="2"/>
        <v>0</v>
      </c>
      <c r="AF11" s="162">
        <f t="shared" si="3"/>
        <v>1</v>
      </c>
    </row>
    <row r="12" spans="1:32" ht="48" x14ac:dyDescent="0.25">
      <c r="A12" s="270"/>
      <c r="B12" s="271"/>
      <c r="C12" s="92" t="s">
        <v>558</v>
      </c>
      <c r="D12" s="129" t="s">
        <v>506</v>
      </c>
      <c r="E12" s="153" t="s">
        <v>502</v>
      </c>
      <c r="F12" s="153" t="s">
        <v>502</v>
      </c>
      <c r="G12" s="153" t="s">
        <v>502</v>
      </c>
      <c r="H12" s="153" t="s">
        <v>502</v>
      </c>
      <c r="I12" s="153" t="s">
        <v>502</v>
      </c>
      <c r="J12" s="153" t="s">
        <v>502</v>
      </c>
      <c r="K12" s="153" t="s">
        <v>502</v>
      </c>
      <c r="L12" s="153" t="s">
        <v>502</v>
      </c>
      <c r="M12" s="153" t="s">
        <v>502</v>
      </c>
      <c r="N12" s="153" t="s">
        <v>502</v>
      </c>
      <c r="O12" s="153" t="s">
        <v>502</v>
      </c>
      <c r="P12" s="153" t="s">
        <v>502</v>
      </c>
      <c r="Q12" s="153" t="s">
        <v>502</v>
      </c>
      <c r="R12" s="153" t="s">
        <v>502</v>
      </c>
      <c r="S12" s="153" t="s">
        <v>502</v>
      </c>
      <c r="T12" s="153" t="s">
        <v>502</v>
      </c>
      <c r="U12" s="153" t="s">
        <v>502</v>
      </c>
      <c r="V12" s="153" t="s">
        <v>502</v>
      </c>
      <c r="W12" s="153" t="s">
        <v>502</v>
      </c>
      <c r="X12" s="153" t="s">
        <v>502</v>
      </c>
      <c r="Y12" s="153" t="s">
        <v>502</v>
      </c>
      <c r="Z12" s="153" t="s">
        <v>502</v>
      </c>
      <c r="AA12" s="153" t="s">
        <v>502</v>
      </c>
      <c r="AB12" s="153" t="s">
        <v>502</v>
      </c>
      <c r="AC12" s="131">
        <f t="shared" si="0"/>
        <v>24</v>
      </c>
      <c r="AD12" s="132">
        <f t="shared" si="1"/>
        <v>0</v>
      </c>
      <c r="AE12" s="133">
        <f t="shared" si="2"/>
        <v>0</v>
      </c>
      <c r="AF12" s="159">
        <f t="shared" si="3"/>
        <v>1</v>
      </c>
    </row>
    <row r="13" spans="1:32" ht="32" x14ac:dyDescent="0.25">
      <c r="A13" s="270"/>
      <c r="B13" s="259"/>
      <c r="C13" s="92" t="s">
        <v>450</v>
      </c>
      <c r="D13" s="129" t="s">
        <v>506</v>
      </c>
      <c r="E13" s="153" t="s">
        <v>502</v>
      </c>
      <c r="F13" s="153" t="s">
        <v>502</v>
      </c>
      <c r="G13" s="153" t="s">
        <v>502</v>
      </c>
      <c r="H13" s="153" t="s">
        <v>502</v>
      </c>
      <c r="I13" s="153" t="s">
        <v>502</v>
      </c>
      <c r="J13" s="153" t="s">
        <v>502</v>
      </c>
      <c r="K13" s="153" t="s">
        <v>502</v>
      </c>
      <c r="L13" s="153" t="s">
        <v>502</v>
      </c>
      <c r="M13" s="153" t="s">
        <v>502</v>
      </c>
      <c r="N13" s="153" t="s">
        <v>502</v>
      </c>
      <c r="O13" s="153" t="s">
        <v>502</v>
      </c>
      <c r="P13" s="153" t="s">
        <v>502</v>
      </c>
      <c r="Q13" s="153" t="s">
        <v>502</v>
      </c>
      <c r="R13" s="153" t="s">
        <v>502</v>
      </c>
      <c r="S13" s="153" t="s">
        <v>502</v>
      </c>
      <c r="T13" s="153" t="s">
        <v>502</v>
      </c>
      <c r="U13" s="153" t="s">
        <v>502</v>
      </c>
      <c r="V13" s="153" t="s">
        <v>502</v>
      </c>
      <c r="W13" s="153" t="s">
        <v>502</v>
      </c>
      <c r="X13" s="153" t="s">
        <v>502</v>
      </c>
      <c r="Y13" s="153" t="s">
        <v>502</v>
      </c>
      <c r="Z13" s="153" t="s">
        <v>502</v>
      </c>
      <c r="AA13" s="153" t="s">
        <v>502</v>
      </c>
      <c r="AB13" s="153" t="s">
        <v>502</v>
      </c>
      <c r="AC13" s="131">
        <f t="shared" si="0"/>
        <v>24</v>
      </c>
      <c r="AD13" s="132">
        <f t="shared" si="1"/>
        <v>0</v>
      </c>
      <c r="AE13" s="133">
        <f t="shared" si="2"/>
        <v>0</v>
      </c>
      <c r="AF13" s="159">
        <f t="shared" si="3"/>
        <v>1</v>
      </c>
    </row>
    <row r="14" spans="1:32" ht="32" x14ac:dyDescent="0.25">
      <c r="A14" s="270"/>
      <c r="B14" s="258" t="s">
        <v>217</v>
      </c>
      <c r="C14" s="92" t="s">
        <v>451</v>
      </c>
      <c r="D14" s="129" t="s">
        <v>506</v>
      </c>
      <c r="E14" s="150" t="s">
        <v>501</v>
      </c>
      <c r="F14" s="150" t="s">
        <v>501</v>
      </c>
      <c r="G14" s="150" t="s">
        <v>501</v>
      </c>
      <c r="H14" s="150" t="s">
        <v>501</v>
      </c>
      <c r="I14" s="150" t="s">
        <v>501</v>
      </c>
      <c r="J14" s="150" t="s">
        <v>501</v>
      </c>
      <c r="K14" s="150" t="s">
        <v>501</v>
      </c>
      <c r="L14" s="150" t="s">
        <v>501</v>
      </c>
      <c r="M14" s="150" t="s">
        <v>501</v>
      </c>
      <c r="N14" s="150" t="s">
        <v>501</v>
      </c>
      <c r="O14" s="150" t="s">
        <v>501</v>
      </c>
      <c r="P14" s="150" t="s">
        <v>501</v>
      </c>
      <c r="Q14" s="150" t="s">
        <v>501</v>
      </c>
      <c r="R14" s="150" t="s">
        <v>501</v>
      </c>
      <c r="S14" s="150" t="s">
        <v>501</v>
      </c>
      <c r="T14" s="150" t="s">
        <v>501</v>
      </c>
      <c r="U14" s="150" t="s">
        <v>501</v>
      </c>
      <c r="V14" s="150" t="s">
        <v>501</v>
      </c>
      <c r="W14" s="150" t="s">
        <v>501</v>
      </c>
      <c r="X14" s="150" t="s">
        <v>501</v>
      </c>
      <c r="Y14" s="150" t="s">
        <v>502</v>
      </c>
      <c r="Z14" s="150" t="s">
        <v>501</v>
      </c>
      <c r="AA14" s="150" t="s">
        <v>501</v>
      </c>
      <c r="AB14" s="150" t="s">
        <v>501</v>
      </c>
      <c r="AC14" s="131">
        <f t="shared" si="0"/>
        <v>1</v>
      </c>
      <c r="AD14" s="132">
        <f t="shared" si="1"/>
        <v>0</v>
      </c>
      <c r="AE14" s="133">
        <f t="shared" si="2"/>
        <v>23</v>
      </c>
      <c r="AF14" s="159">
        <f t="shared" si="3"/>
        <v>1</v>
      </c>
    </row>
    <row r="15" spans="1:32" ht="32" x14ac:dyDescent="0.25">
      <c r="A15" s="270"/>
      <c r="B15" s="259"/>
      <c r="C15" s="92" t="s">
        <v>452</v>
      </c>
      <c r="D15" s="129" t="s">
        <v>506</v>
      </c>
      <c r="E15" s="153" t="s">
        <v>502</v>
      </c>
      <c r="F15" s="150" t="s">
        <v>501</v>
      </c>
      <c r="G15" s="150" t="s">
        <v>501</v>
      </c>
      <c r="H15" s="150" t="s">
        <v>501</v>
      </c>
      <c r="I15" s="150" t="s">
        <v>501</v>
      </c>
      <c r="J15" s="150" t="s">
        <v>501</v>
      </c>
      <c r="K15" s="150" t="s">
        <v>501</v>
      </c>
      <c r="L15" s="150" t="s">
        <v>501</v>
      </c>
      <c r="M15" s="150" t="s">
        <v>501</v>
      </c>
      <c r="N15" s="150" t="s">
        <v>501</v>
      </c>
      <c r="O15" s="150" t="s">
        <v>501</v>
      </c>
      <c r="P15" s="150" t="s">
        <v>501</v>
      </c>
      <c r="Q15" s="150" t="s">
        <v>501</v>
      </c>
      <c r="R15" s="150" t="s">
        <v>501</v>
      </c>
      <c r="S15" s="150" t="s">
        <v>501</v>
      </c>
      <c r="T15" s="150" t="s">
        <v>501</v>
      </c>
      <c r="U15" s="150" t="s">
        <v>501</v>
      </c>
      <c r="V15" s="150" t="s">
        <v>501</v>
      </c>
      <c r="W15" s="150" t="s">
        <v>501</v>
      </c>
      <c r="X15" s="150" t="s">
        <v>501</v>
      </c>
      <c r="Y15" s="150" t="s">
        <v>501</v>
      </c>
      <c r="Z15" s="150" t="s">
        <v>501</v>
      </c>
      <c r="AA15" s="150" t="s">
        <v>501</v>
      </c>
      <c r="AB15" s="150" t="s">
        <v>501</v>
      </c>
      <c r="AC15" s="131">
        <f t="shared" si="0"/>
        <v>1</v>
      </c>
      <c r="AD15" s="132">
        <f t="shared" si="1"/>
        <v>0</v>
      </c>
      <c r="AE15" s="133">
        <f t="shared" si="2"/>
        <v>23</v>
      </c>
      <c r="AF15" s="159">
        <f t="shared" si="3"/>
        <v>1</v>
      </c>
    </row>
    <row r="16" spans="1:32" ht="48" x14ac:dyDescent="0.25">
      <c r="A16" s="270"/>
      <c r="B16" s="91" t="s">
        <v>218</v>
      </c>
      <c r="C16" s="92" t="s">
        <v>453</v>
      </c>
      <c r="D16" s="129" t="s">
        <v>506</v>
      </c>
      <c r="E16" s="151" t="s">
        <v>501</v>
      </c>
      <c r="F16" s="151" t="s">
        <v>501</v>
      </c>
      <c r="G16" s="151" t="s">
        <v>501</v>
      </c>
      <c r="H16" s="151" t="s">
        <v>501</v>
      </c>
      <c r="I16" s="151" t="s">
        <v>501</v>
      </c>
      <c r="J16" s="151" t="s">
        <v>501</v>
      </c>
      <c r="K16" s="151" t="s">
        <v>501</v>
      </c>
      <c r="L16" s="151" t="s">
        <v>501</v>
      </c>
      <c r="M16" s="151" t="s">
        <v>501</v>
      </c>
      <c r="N16" s="151" t="s">
        <v>501</v>
      </c>
      <c r="O16" s="151" t="s">
        <v>501</v>
      </c>
      <c r="P16" s="151" t="s">
        <v>501</v>
      </c>
      <c r="Q16" s="151" t="s">
        <v>501</v>
      </c>
      <c r="R16" s="151" t="s">
        <v>501</v>
      </c>
      <c r="S16" s="151" t="s">
        <v>501</v>
      </c>
      <c r="T16" s="151" t="s">
        <v>501</v>
      </c>
      <c r="U16" s="151" t="s">
        <v>501</v>
      </c>
      <c r="V16" s="151" t="s">
        <v>501</v>
      </c>
      <c r="W16" s="151" t="s">
        <v>501</v>
      </c>
      <c r="X16" s="151" t="s">
        <v>501</v>
      </c>
      <c r="Y16" s="151" t="s">
        <v>501</v>
      </c>
      <c r="Z16" s="151" t="s">
        <v>501</v>
      </c>
      <c r="AA16" s="151" t="s">
        <v>501</v>
      </c>
      <c r="AB16" s="151" t="s">
        <v>501</v>
      </c>
      <c r="AC16" s="134">
        <f t="shared" si="0"/>
        <v>0</v>
      </c>
      <c r="AD16" s="135">
        <f t="shared" si="1"/>
        <v>0</v>
      </c>
      <c r="AE16" s="136">
        <f t="shared" si="2"/>
        <v>24</v>
      </c>
      <c r="AF16" s="160" t="str">
        <f t="shared" si="3"/>
        <v>N/A</v>
      </c>
    </row>
    <row r="17" spans="1:32" ht="32" x14ac:dyDescent="0.25">
      <c r="A17" s="270"/>
      <c r="B17" s="258" t="s">
        <v>219</v>
      </c>
      <c r="C17" s="92" t="s">
        <v>454</v>
      </c>
      <c r="D17" s="129" t="s">
        <v>506</v>
      </c>
      <c r="E17" s="150" t="s">
        <v>502</v>
      </c>
      <c r="F17" s="150" t="s">
        <v>502</v>
      </c>
      <c r="G17" s="150" t="s">
        <v>502</v>
      </c>
      <c r="H17" s="150" t="s">
        <v>502</v>
      </c>
      <c r="I17" s="150" t="s">
        <v>502</v>
      </c>
      <c r="J17" s="150" t="s">
        <v>502</v>
      </c>
      <c r="K17" s="150" t="s">
        <v>502</v>
      </c>
      <c r="L17" s="150" t="s">
        <v>502</v>
      </c>
      <c r="M17" s="150" t="s">
        <v>502</v>
      </c>
      <c r="N17" s="150" t="s">
        <v>502</v>
      </c>
      <c r="O17" s="150" t="s">
        <v>502</v>
      </c>
      <c r="P17" s="150" t="s">
        <v>502</v>
      </c>
      <c r="Q17" s="150" t="s">
        <v>502</v>
      </c>
      <c r="R17" s="150" t="s">
        <v>502</v>
      </c>
      <c r="S17" s="150" t="s">
        <v>502</v>
      </c>
      <c r="T17" s="150" t="s">
        <v>502</v>
      </c>
      <c r="U17" s="150" t="s">
        <v>502</v>
      </c>
      <c r="V17" s="150" t="s">
        <v>502</v>
      </c>
      <c r="W17" s="150" t="s">
        <v>502</v>
      </c>
      <c r="X17" s="150" t="s">
        <v>502</v>
      </c>
      <c r="Y17" s="150" t="s">
        <v>502</v>
      </c>
      <c r="Z17" s="150" t="s">
        <v>502</v>
      </c>
      <c r="AA17" s="150" t="s">
        <v>502</v>
      </c>
      <c r="AB17" s="150" t="s">
        <v>502</v>
      </c>
      <c r="AC17" s="131">
        <f t="shared" si="0"/>
        <v>24</v>
      </c>
      <c r="AD17" s="132">
        <f t="shared" si="1"/>
        <v>0</v>
      </c>
      <c r="AE17" s="133">
        <f t="shared" si="2"/>
        <v>0</v>
      </c>
      <c r="AF17" s="159">
        <f t="shared" si="3"/>
        <v>1</v>
      </c>
    </row>
    <row r="18" spans="1:32" ht="32" x14ac:dyDescent="0.25">
      <c r="A18" s="270"/>
      <c r="B18" s="271"/>
      <c r="C18" s="92" t="s">
        <v>455</v>
      </c>
      <c r="D18" s="166" t="s">
        <v>505</v>
      </c>
      <c r="E18" s="150" t="s">
        <v>502</v>
      </c>
      <c r="F18" s="150" t="s">
        <v>502</v>
      </c>
      <c r="G18" s="150" t="s">
        <v>502</v>
      </c>
      <c r="H18" s="150" t="s">
        <v>502</v>
      </c>
      <c r="I18" s="150" t="s">
        <v>502</v>
      </c>
      <c r="J18" s="150" t="s">
        <v>502</v>
      </c>
      <c r="K18" s="150" t="s">
        <v>502</v>
      </c>
      <c r="L18" s="150" t="s">
        <v>502</v>
      </c>
      <c r="M18" s="150" t="s">
        <v>502</v>
      </c>
      <c r="N18" s="150" t="s">
        <v>502</v>
      </c>
      <c r="O18" s="150" t="s">
        <v>502</v>
      </c>
      <c r="P18" s="150" t="s">
        <v>502</v>
      </c>
      <c r="Q18" s="150" t="s">
        <v>502</v>
      </c>
      <c r="R18" s="150" t="s">
        <v>502</v>
      </c>
      <c r="S18" s="150" t="s">
        <v>502</v>
      </c>
      <c r="T18" s="150" t="s">
        <v>502</v>
      </c>
      <c r="U18" s="150" t="s">
        <v>502</v>
      </c>
      <c r="V18" s="150" t="s">
        <v>502</v>
      </c>
      <c r="W18" s="150" t="s">
        <v>502</v>
      </c>
      <c r="X18" s="150" t="s">
        <v>502</v>
      </c>
      <c r="Y18" s="150" t="s">
        <v>502</v>
      </c>
      <c r="Z18" s="150" t="s">
        <v>502</v>
      </c>
      <c r="AA18" s="150" t="s">
        <v>502</v>
      </c>
      <c r="AB18" s="150" t="s">
        <v>502</v>
      </c>
      <c r="AC18" s="131">
        <f t="shared" si="0"/>
        <v>24</v>
      </c>
      <c r="AD18" s="132">
        <f t="shared" si="1"/>
        <v>0</v>
      </c>
      <c r="AE18" s="133">
        <f t="shared" si="2"/>
        <v>0</v>
      </c>
      <c r="AF18" s="159">
        <f t="shared" si="3"/>
        <v>1</v>
      </c>
    </row>
    <row r="19" spans="1:32" ht="32" x14ac:dyDescent="0.25">
      <c r="A19" s="270"/>
      <c r="B19" s="271"/>
      <c r="C19" s="99" t="s">
        <v>456</v>
      </c>
      <c r="D19" s="130" t="s">
        <v>506</v>
      </c>
      <c r="E19" s="152" t="s">
        <v>502</v>
      </c>
      <c r="F19" s="152" t="s">
        <v>502</v>
      </c>
      <c r="G19" s="152" t="s">
        <v>502</v>
      </c>
      <c r="H19" s="152" t="s">
        <v>502</v>
      </c>
      <c r="I19" s="152" t="s">
        <v>502</v>
      </c>
      <c r="J19" s="152" t="s">
        <v>502</v>
      </c>
      <c r="K19" s="152" t="s">
        <v>502</v>
      </c>
      <c r="L19" s="152" t="s">
        <v>502</v>
      </c>
      <c r="M19" s="152" t="s">
        <v>502</v>
      </c>
      <c r="N19" s="152" t="s">
        <v>502</v>
      </c>
      <c r="O19" s="152" t="s">
        <v>502</v>
      </c>
      <c r="P19" s="152" t="s">
        <v>502</v>
      </c>
      <c r="Q19" s="152" t="s">
        <v>502</v>
      </c>
      <c r="R19" s="152" t="s">
        <v>502</v>
      </c>
      <c r="S19" s="152" t="s">
        <v>502</v>
      </c>
      <c r="T19" s="152" t="s">
        <v>502</v>
      </c>
      <c r="U19" s="152" t="s">
        <v>502</v>
      </c>
      <c r="V19" s="152" t="s">
        <v>502</v>
      </c>
      <c r="W19" s="152" t="s">
        <v>502</v>
      </c>
      <c r="X19" s="152" t="s">
        <v>502</v>
      </c>
      <c r="Y19" s="152" t="s">
        <v>502</v>
      </c>
      <c r="Z19" s="152" t="s">
        <v>502</v>
      </c>
      <c r="AA19" s="152" t="s">
        <v>502</v>
      </c>
      <c r="AB19" s="152" t="s">
        <v>502</v>
      </c>
      <c r="AC19" s="137">
        <f t="shared" si="0"/>
        <v>24</v>
      </c>
      <c r="AD19" s="138">
        <f t="shared" si="1"/>
        <v>0</v>
      </c>
      <c r="AE19" s="139">
        <f t="shared" si="2"/>
        <v>0</v>
      </c>
      <c r="AF19" s="161">
        <f t="shared" si="3"/>
        <v>1</v>
      </c>
    </row>
    <row r="20" spans="1:32" ht="32" x14ac:dyDescent="0.25">
      <c r="A20" s="268" t="s">
        <v>211</v>
      </c>
      <c r="B20" s="89" t="s">
        <v>220</v>
      </c>
      <c r="C20" s="90" t="s">
        <v>457</v>
      </c>
      <c r="D20" s="165" t="s">
        <v>505</v>
      </c>
      <c r="E20" s="153" t="s">
        <v>502</v>
      </c>
      <c r="F20" s="153" t="s">
        <v>502</v>
      </c>
      <c r="G20" s="153" t="s">
        <v>502</v>
      </c>
      <c r="H20" s="153" t="s">
        <v>502</v>
      </c>
      <c r="I20" s="153" t="s">
        <v>502</v>
      </c>
      <c r="J20" s="153" t="s">
        <v>502</v>
      </c>
      <c r="K20" s="153" t="s">
        <v>502</v>
      </c>
      <c r="L20" s="153" t="s">
        <v>502</v>
      </c>
      <c r="M20" s="153" t="s">
        <v>502</v>
      </c>
      <c r="N20" s="153" t="s">
        <v>502</v>
      </c>
      <c r="O20" s="153" t="s">
        <v>502</v>
      </c>
      <c r="P20" s="153" t="s">
        <v>502</v>
      </c>
      <c r="Q20" s="153" t="s">
        <v>502</v>
      </c>
      <c r="R20" s="153" t="s">
        <v>502</v>
      </c>
      <c r="S20" s="153" t="s">
        <v>502</v>
      </c>
      <c r="T20" s="153" t="s">
        <v>502</v>
      </c>
      <c r="U20" s="153" t="s">
        <v>502</v>
      </c>
      <c r="V20" s="153" t="s">
        <v>502</v>
      </c>
      <c r="W20" s="153" t="s">
        <v>502</v>
      </c>
      <c r="X20" s="153" t="s">
        <v>502</v>
      </c>
      <c r="Y20" s="153" t="s">
        <v>502</v>
      </c>
      <c r="Z20" s="153" t="s">
        <v>502</v>
      </c>
      <c r="AA20" s="153" t="s">
        <v>502</v>
      </c>
      <c r="AB20" s="153" t="s">
        <v>502</v>
      </c>
      <c r="AC20" s="140">
        <f t="shared" si="0"/>
        <v>24</v>
      </c>
      <c r="AD20" s="141">
        <f t="shared" si="1"/>
        <v>0</v>
      </c>
      <c r="AE20" s="142">
        <f t="shared" si="2"/>
        <v>0</v>
      </c>
      <c r="AF20" s="162">
        <f t="shared" si="3"/>
        <v>1</v>
      </c>
    </row>
    <row r="21" spans="1:32" ht="48" x14ac:dyDescent="0.25">
      <c r="A21" s="270"/>
      <c r="B21" s="94" t="s">
        <v>221</v>
      </c>
      <c r="C21" s="92" t="s">
        <v>458</v>
      </c>
      <c r="D21" s="166" t="s">
        <v>505</v>
      </c>
      <c r="E21" s="150" t="s">
        <v>502</v>
      </c>
      <c r="F21" s="150" t="s">
        <v>502</v>
      </c>
      <c r="G21" s="150" t="s">
        <v>502</v>
      </c>
      <c r="H21" s="150" t="s">
        <v>502</v>
      </c>
      <c r="I21" s="150" t="s">
        <v>502</v>
      </c>
      <c r="J21" s="150" t="s">
        <v>502</v>
      </c>
      <c r="K21" s="150" t="s">
        <v>502</v>
      </c>
      <c r="L21" s="150" t="s">
        <v>502</v>
      </c>
      <c r="M21" s="150" t="s">
        <v>502</v>
      </c>
      <c r="N21" s="150" t="s">
        <v>502</v>
      </c>
      <c r="O21" s="150" t="s">
        <v>502</v>
      </c>
      <c r="P21" s="150" t="s">
        <v>502</v>
      </c>
      <c r="Q21" s="150" t="s">
        <v>502</v>
      </c>
      <c r="R21" s="150" t="s">
        <v>502</v>
      </c>
      <c r="S21" s="150" t="s">
        <v>502</v>
      </c>
      <c r="T21" s="150" t="s">
        <v>502</v>
      </c>
      <c r="U21" s="150" t="s">
        <v>502</v>
      </c>
      <c r="V21" s="150" t="s">
        <v>502</v>
      </c>
      <c r="W21" s="150" t="s">
        <v>502</v>
      </c>
      <c r="X21" s="150" t="s">
        <v>502</v>
      </c>
      <c r="Y21" s="150" t="s">
        <v>502</v>
      </c>
      <c r="Z21" s="150" t="s">
        <v>502</v>
      </c>
      <c r="AA21" s="150" t="s">
        <v>502</v>
      </c>
      <c r="AB21" s="150" t="s">
        <v>502</v>
      </c>
      <c r="AC21" s="131">
        <f t="shared" si="0"/>
        <v>24</v>
      </c>
      <c r="AD21" s="132">
        <f t="shared" si="1"/>
        <v>0</v>
      </c>
      <c r="AE21" s="133">
        <f t="shared" si="2"/>
        <v>0</v>
      </c>
      <c r="AF21" s="159">
        <f t="shared" si="3"/>
        <v>1</v>
      </c>
    </row>
    <row r="22" spans="1:32" ht="32" x14ac:dyDescent="0.25">
      <c r="A22" s="270"/>
      <c r="B22" s="258" t="s">
        <v>222</v>
      </c>
      <c r="C22" s="92" t="s">
        <v>459</v>
      </c>
      <c r="D22" s="129" t="s">
        <v>506</v>
      </c>
      <c r="E22" s="151" t="s">
        <v>502</v>
      </c>
      <c r="F22" s="151" t="s">
        <v>502</v>
      </c>
      <c r="G22" s="151" t="s">
        <v>502</v>
      </c>
      <c r="H22" s="151" t="s">
        <v>502</v>
      </c>
      <c r="I22" s="151" t="s">
        <v>502</v>
      </c>
      <c r="J22" s="151" t="s">
        <v>502</v>
      </c>
      <c r="K22" s="151" t="s">
        <v>502</v>
      </c>
      <c r="L22" s="151" t="s">
        <v>502</v>
      </c>
      <c r="M22" s="151" t="s">
        <v>502</v>
      </c>
      <c r="N22" s="151" t="s">
        <v>502</v>
      </c>
      <c r="O22" s="151" t="s">
        <v>502</v>
      </c>
      <c r="P22" s="151" t="s">
        <v>502</v>
      </c>
      <c r="Q22" s="151" t="s">
        <v>502</v>
      </c>
      <c r="R22" s="151" t="s">
        <v>502</v>
      </c>
      <c r="S22" s="151" t="s">
        <v>502</v>
      </c>
      <c r="T22" s="151" t="s">
        <v>502</v>
      </c>
      <c r="U22" s="151" t="s">
        <v>502</v>
      </c>
      <c r="V22" s="151" t="s">
        <v>502</v>
      </c>
      <c r="W22" s="151" t="s">
        <v>502</v>
      </c>
      <c r="X22" s="151" t="s">
        <v>502</v>
      </c>
      <c r="Y22" s="151" t="s">
        <v>502</v>
      </c>
      <c r="Z22" s="151" t="s">
        <v>502</v>
      </c>
      <c r="AA22" s="151" t="s">
        <v>502</v>
      </c>
      <c r="AB22" s="151" t="s">
        <v>502</v>
      </c>
      <c r="AC22" s="134">
        <f t="shared" si="0"/>
        <v>24</v>
      </c>
      <c r="AD22" s="135">
        <f t="shared" si="1"/>
        <v>0</v>
      </c>
      <c r="AE22" s="136">
        <f t="shared" si="2"/>
        <v>0</v>
      </c>
      <c r="AF22" s="160">
        <f t="shared" si="3"/>
        <v>1</v>
      </c>
    </row>
    <row r="23" spans="1:32" ht="32" x14ac:dyDescent="0.25">
      <c r="A23" s="270"/>
      <c r="B23" s="259"/>
      <c r="C23" s="92" t="s">
        <v>460</v>
      </c>
      <c r="D23" s="129" t="s">
        <v>506</v>
      </c>
      <c r="E23" s="150" t="s">
        <v>502</v>
      </c>
      <c r="F23" s="150" t="s">
        <v>502</v>
      </c>
      <c r="G23" s="150" t="s">
        <v>502</v>
      </c>
      <c r="H23" s="150" t="s">
        <v>502</v>
      </c>
      <c r="I23" s="150" t="s">
        <v>502</v>
      </c>
      <c r="J23" s="150" t="s">
        <v>502</v>
      </c>
      <c r="K23" s="150" t="s">
        <v>502</v>
      </c>
      <c r="L23" s="150" t="s">
        <v>502</v>
      </c>
      <c r="M23" s="150" t="s">
        <v>502</v>
      </c>
      <c r="N23" s="150" t="s">
        <v>502</v>
      </c>
      <c r="O23" s="150" t="s">
        <v>502</v>
      </c>
      <c r="P23" s="150" t="s">
        <v>502</v>
      </c>
      <c r="Q23" s="150" t="s">
        <v>502</v>
      </c>
      <c r="R23" s="150" t="s">
        <v>502</v>
      </c>
      <c r="S23" s="150" t="s">
        <v>502</v>
      </c>
      <c r="T23" s="150" t="s">
        <v>502</v>
      </c>
      <c r="U23" s="150" t="s">
        <v>502</v>
      </c>
      <c r="V23" s="150" t="s">
        <v>502</v>
      </c>
      <c r="W23" s="150" t="s">
        <v>502</v>
      </c>
      <c r="X23" s="150" t="s">
        <v>502</v>
      </c>
      <c r="Y23" s="150" t="s">
        <v>502</v>
      </c>
      <c r="Z23" s="150" t="s">
        <v>502</v>
      </c>
      <c r="AA23" s="150" t="s">
        <v>502</v>
      </c>
      <c r="AB23" s="150" t="s">
        <v>502</v>
      </c>
      <c r="AC23" s="131">
        <f t="shared" si="0"/>
        <v>24</v>
      </c>
      <c r="AD23" s="132">
        <f t="shared" si="1"/>
        <v>0</v>
      </c>
      <c r="AE23" s="133">
        <f t="shared" si="2"/>
        <v>0</v>
      </c>
      <c r="AF23" s="159">
        <f t="shared" si="3"/>
        <v>1</v>
      </c>
    </row>
    <row r="24" spans="1:32" ht="32" x14ac:dyDescent="0.25">
      <c r="A24" s="270"/>
      <c r="B24" s="258" t="s">
        <v>223</v>
      </c>
      <c r="C24" s="92" t="s">
        <v>461</v>
      </c>
      <c r="D24" s="166" t="s">
        <v>505</v>
      </c>
      <c r="E24" s="150" t="s">
        <v>502</v>
      </c>
      <c r="F24" s="150" t="s">
        <v>502</v>
      </c>
      <c r="G24" s="150" t="s">
        <v>502</v>
      </c>
      <c r="H24" s="150" t="s">
        <v>502</v>
      </c>
      <c r="I24" s="150" t="s">
        <v>502</v>
      </c>
      <c r="J24" s="150" t="s">
        <v>502</v>
      </c>
      <c r="K24" s="150" t="s">
        <v>502</v>
      </c>
      <c r="L24" s="150" t="s">
        <v>502</v>
      </c>
      <c r="M24" s="150" t="s">
        <v>502</v>
      </c>
      <c r="N24" s="150" t="s">
        <v>502</v>
      </c>
      <c r="O24" s="150" t="s">
        <v>502</v>
      </c>
      <c r="P24" s="150" t="s">
        <v>502</v>
      </c>
      <c r="Q24" s="150" t="s">
        <v>502</v>
      </c>
      <c r="R24" s="150" t="s">
        <v>502</v>
      </c>
      <c r="S24" s="150" t="s">
        <v>502</v>
      </c>
      <c r="T24" s="150" t="s">
        <v>502</v>
      </c>
      <c r="U24" s="150" t="s">
        <v>502</v>
      </c>
      <c r="V24" s="150" t="s">
        <v>502</v>
      </c>
      <c r="W24" s="150" t="s">
        <v>502</v>
      </c>
      <c r="X24" s="150" t="s">
        <v>502</v>
      </c>
      <c r="Y24" s="150" t="s">
        <v>502</v>
      </c>
      <c r="Z24" s="150" t="s">
        <v>502</v>
      </c>
      <c r="AA24" s="150" t="s">
        <v>502</v>
      </c>
      <c r="AB24" s="150" t="s">
        <v>502</v>
      </c>
      <c r="AC24" s="131">
        <f t="shared" si="0"/>
        <v>24</v>
      </c>
      <c r="AD24" s="132">
        <f t="shared" si="1"/>
        <v>0</v>
      </c>
      <c r="AE24" s="133">
        <f t="shared" si="2"/>
        <v>0</v>
      </c>
      <c r="AF24" s="159">
        <f t="shared" si="3"/>
        <v>1</v>
      </c>
    </row>
    <row r="25" spans="1:32" ht="32" x14ac:dyDescent="0.25">
      <c r="A25" s="269"/>
      <c r="B25" s="261"/>
      <c r="C25" s="93" t="s">
        <v>462</v>
      </c>
      <c r="D25" s="130" t="s">
        <v>506</v>
      </c>
      <c r="E25" s="154" t="s">
        <v>502</v>
      </c>
      <c r="F25" s="154" t="s">
        <v>502</v>
      </c>
      <c r="G25" s="154" t="s">
        <v>502</v>
      </c>
      <c r="H25" s="154" t="s">
        <v>502</v>
      </c>
      <c r="I25" s="154" t="s">
        <v>502</v>
      </c>
      <c r="J25" s="154" t="s">
        <v>502</v>
      </c>
      <c r="K25" s="154" t="s">
        <v>502</v>
      </c>
      <c r="L25" s="154" t="s">
        <v>502</v>
      </c>
      <c r="M25" s="154" t="s">
        <v>502</v>
      </c>
      <c r="N25" s="154" t="s">
        <v>502</v>
      </c>
      <c r="O25" s="154" t="s">
        <v>502</v>
      </c>
      <c r="P25" s="154" t="s">
        <v>502</v>
      </c>
      <c r="Q25" s="154" t="s">
        <v>502</v>
      </c>
      <c r="R25" s="154" t="s">
        <v>502</v>
      </c>
      <c r="S25" s="154" t="s">
        <v>502</v>
      </c>
      <c r="T25" s="154" t="s">
        <v>502</v>
      </c>
      <c r="U25" s="154" t="s">
        <v>502</v>
      </c>
      <c r="V25" s="154" t="s">
        <v>502</v>
      </c>
      <c r="W25" s="154" t="s">
        <v>502</v>
      </c>
      <c r="X25" s="154" t="s">
        <v>502</v>
      </c>
      <c r="Y25" s="154" t="s">
        <v>502</v>
      </c>
      <c r="Z25" s="154" t="s">
        <v>502</v>
      </c>
      <c r="AA25" s="154" t="s">
        <v>502</v>
      </c>
      <c r="AB25" s="154" t="s">
        <v>502</v>
      </c>
      <c r="AC25" s="143">
        <f t="shared" si="0"/>
        <v>24</v>
      </c>
      <c r="AD25" s="144">
        <f t="shared" si="1"/>
        <v>0</v>
      </c>
      <c r="AE25" s="145">
        <f t="shared" si="2"/>
        <v>0</v>
      </c>
      <c r="AF25" s="163">
        <f t="shared" si="3"/>
        <v>1</v>
      </c>
    </row>
    <row r="26" spans="1:32" ht="48" x14ac:dyDescent="0.25">
      <c r="A26" s="268" t="s">
        <v>212</v>
      </c>
      <c r="B26" s="89" t="s">
        <v>224</v>
      </c>
      <c r="C26" s="100" t="s">
        <v>463</v>
      </c>
      <c r="D26" s="167" t="s">
        <v>505</v>
      </c>
      <c r="E26" s="153" t="s">
        <v>502</v>
      </c>
      <c r="F26" s="153" t="s">
        <v>502</v>
      </c>
      <c r="G26" s="153" t="s">
        <v>502</v>
      </c>
      <c r="H26" s="153" t="s">
        <v>502</v>
      </c>
      <c r="I26" s="153" t="s">
        <v>502</v>
      </c>
      <c r="J26" s="153" t="s">
        <v>502</v>
      </c>
      <c r="K26" s="153" t="s">
        <v>502</v>
      </c>
      <c r="L26" s="153" t="s">
        <v>502</v>
      </c>
      <c r="M26" s="153" t="s">
        <v>502</v>
      </c>
      <c r="N26" s="153" t="s">
        <v>502</v>
      </c>
      <c r="O26" s="153" t="s">
        <v>502</v>
      </c>
      <c r="P26" s="153" t="s">
        <v>502</v>
      </c>
      <c r="Q26" s="153" t="s">
        <v>502</v>
      </c>
      <c r="R26" s="153" t="s">
        <v>502</v>
      </c>
      <c r="S26" s="153" t="s">
        <v>502</v>
      </c>
      <c r="T26" s="153" t="s">
        <v>502</v>
      </c>
      <c r="U26" s="153" t="s">
        <v>502</v>
      </c>
      <c r="V26" s="153" t="s">
        <v>502</v>
      </c>
      <c r="W26" s="153" t="s">
        <v>502</v>
      </c>
      <c r="X26" s="153" t="s">
        <v>502</v>
      </c>
      <c r="Y26" s="153" t="s">
        <v>502</v>
      </c>
      <c r="Z26" s="153" t="s">
        <v>502</v>
      </c>
      <c r="AA26" s="153" t="s">
        <v>502</v>
      </c>
      <c r="AB26" s="153" t="s">
        <v>502</v>
      </c>
      <c r="AC26" s="140">
        <f t="shared" si="0"/>
        <v>24</v>
      </c>
      <c r="AD26" s="141">
        <f t="shared" si="1"/>
        <v>0</v>
      </c>
      <c r="AE26" s="142">
        <f t="shared" si="2"/>
        <v>0</v>
      </c>
      <c r="AF26" s="162">
        <f t="shared" si="3"/>
        <v>1</v>
      </c>
    </row>
    <row r="27" spans="1:32" ht="32.5" thickBot="1" x14ac:dyDescent="0.3">
      <c r="A27" s="269"/>
      <c r="B27" s="95" t="s">
        <v>225</v>
      </c>
      <c r="C27" s="93" t="s">
        <v>464</v>
      </c>
      <c r="D27" s="130" t="s">
        <v>506</v>
      </c>
      <c r="E27" s="154" t="s">
        <v>502</v>
      </c>
      <c r="F27" s="154" t="s">
        <v>502</v>
      </c>
      <c r="G27" s="154" t="s">
        <v>502</v>
      </c>
      <c r="H27" s="154" t="s">
        <v>502</v>
      </c>
      <c r="I27" s="154" t="s">
        <v>502</v>
      </c>
      <c r="J27" s="154" t="s">
        <v>502</v>
      </c>
      <c r="K27" s="154" t="s">
        <v>502</v>
      </c>
      <c r="L27" s="154" t="s">
        <v>502</v>
      </c>
      <c r="M27" s="154" t="s">
        <v>502</v>
      </c>
      <c r="N27" s="154" t="s">
        <v>502</v>
      </c>
      <c r="O27" s="154" t="s">
        <v>502</v>
      </c>
      <c r="P27" s="154" t="s">
        <v>502</v>
      </c>
      <c r="Q27" s="154" t="s">
        <v>502</v>
      </c>
      <c r="R27" s="154" t="s">
        <v>502</v>
      </c>
      <c r="S27" s="154" t="s">
        <v>502</v>
      </c>
      <c r="T27" s="154" t="s">
        <v>502</v>
      </c>
      <c r="U27" s="154" t="s">
        <v>502</v>
      </c>
      <c r="V27" s="154" t="s">
        <v>502</v>
      </c>
      <c r="W27" s="154" t="s">
        <v>502</v>
      </c>
      <c r="X27" s="154" t="s">
        <v>502</v>
      </c>
      <c r="Y27" s="154" t="s">
        <v>502</v>
      </c>
      <c r="Z27" s="154" t="s">
        <v>502</v>
      </c>
      <c r="AA27" s="154" t="s">
        <v>502</v>
      </c>
      <c r="AB27" s="154" t="s">
        <v>502</v>
      </c>
      <c r="AC27" s="146">
        <f t="shared" si="0"/>
        <v>24</v>
      </c>
      <c r="AD27" s="147">
        <f t="shared" si="1"/>
        <v>0</v>
      </c>
      <c r="AE27" s="148">
        <f t="shared" si="2"/>
        <v>0</v>
      </c>
      <c r="AF27" s="164">
        <f t="shared" si="3"/>
        <v>1</v>
      </c>
    </row>
    <row r="28" spans="1:32" ht="19.5" customHeight="1" x14ac:dyDescent="0.25"/>
    <row r="29" spans="1:32" ht="19.5" customHeight="1" x14ac:dyDescent="0.25"/>
    <row r="30" spans="1:32" ht="19.5" customHeight="1" x14ac:dyDescent="0.25"/>
    <row r="31" spans="1:32" ht="19.5" customHeight="1" x14ac:dyDescent="0.25"/>
    <row r="32" spans="1:32"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sheetData>
  <mergeCells count="17">
    <mergeCell ref="A1:AF1"/>
    <mergeCell ref="A2:C2"/>
    <mergeCell ref="E2:AB2"/>
    <mergeCell ref="AC2:AC3"/>
    <mergeCell ref="AD2:AD3"/>
    <mergeCell ref="AE2:AE3"/>
    <mergeCell ref="AF2:AF3"/>
    <mergeCell ref="A20:A25"/>
    <mergeCell ref="B22:B23"/>
    <mergeCell ref="B24:B25"/>
    <mergeCell ref="A26:A27"/>
    <mergeCell ref="A4:A10"/>
    <mergeCell ref="B6:B10"/>
    <mergeCell ref="A11:A19"/>
    <mergeCell ref="B11:B13"/>
    <mergeCell ref="B14:B15"/>
    <mergeCell ref="B17:B19"/>
  </mergeCells>
  <phoneticPr fontId="2" type="noConversion"/>
  <printOptions horizontalCentered="1"/>
  <pageMargins left="0.25" right="0.25" top="0.75" bottom="0.75" header="0.3" footer="0.3"/>
  <pageSetup paperSize="9" scale="54" fitToHeight="0" orientation="landscape" r:id="rId1"/>
  <headerFooter>
    <oddHeader>&amp;L&amp;G&amp;R&amp;"+,보통"&amp;10&amp;F</oddHeader>
    <oddFooter>&amp;L&amp;"+,보통"&amp;10마이데이터 지원 플랫폼 구축(2차)&amp;R&amp;G</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구분선택!$A$1:$A$3</xm:f>
          </x14:formula1>
          <xm:sqref>E4:AB27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10"/>
  <sheetViews>
    <sheetView zoomScale="85" zoomScaleNormal="85" zoomScaleSheetLayoutView="100" zoomScalePageLayoutView="55" workbookViewId="0">
      <selection activeCell="D14" sqref="D14"/>
    </sheetView>
  </sheetViews>
  <sheetFormatPr defaultColWidth="8.9140625" defaultRowHeight="16" x14ac:dyDescent="0.25"/>
  <cols>
    <col min="1" max="1" width="11.83203125" style="78" customWidth="1"/>
    <col min="2" max="2" width="41.1640625" style="83" customWidth="1"/>
    <col min="3" max="3" width="8.25" style="83" customWidth="1"/>
    <col min="4" max="4" width="46.9140625" style="84" customWidth="1"/>
    <col min="5" max="5" width="8.25" style="78" bestFit="1" customWidth="1"/>
    <col min="6" max="16384" width="8.9140625" style="78"/>
  </cols>
  <sheetData>
    <row r="1" spans="1:5" s="96" customFormat="1" ht="45" customHeight="1" x14ac:dyDescent="0.25">
      <c r="A1" s="273" t="s">
        <v>401</v>
      </c>
      <c r="B1" s="273"/>
      <c r="C1" s="273"/>
      <c r="D1" s="273"/>
      <c r="E1" s="273"/>
    </row>
    <row r="2" spans="1:5" ht="19.5" customHeight="1" x14ac:dyDescent="0.25">
      <c r="A2" s="77" t="s">
        <v>469</v>
      </c>
      <c r="B2" s="77" t="s">
        <v>470</v>
      </c>
      <c r="C2" s="77" t="s">
        <v>471</v>
      </c>
      <c r="D2" s="77" t="s">
        <v>472</v>
      </c>
      <c r="E2" s="112" t="s">
        <v>481</v>
      </c>
    </row>
    <row r="3" spans="1:5" ht="48" x14ac:dyDescent="0.25">
      <c r="A3" s="86" t="s">
        <v>438</v>
      </c>
      <c r="B3" s="86" t="s">
        <v>439</v>
      </c>
      <c r="C3" s="101" t="s">
        <v>577</v>
      </c>
      <c r="D3" s="102" t="s">
        <v>478</v>
      </c>
      <c r="E3" s="80" t="s">
        <v>578</v>
      </c>
    </row>
    <row r="4" spans="1:5" ht="189" customHeight="1" x14ac:dyDescent="0.25">
      <c r="A4" s="87" t="s">
        <v>440</v>
      </c>
      <c r="B4" s="87" t="s">
        <v>579</v>
      </c>
      <c r="C4" s="101" t="s">
        <v>577</v>
      </c>
      <c r="D4" s="103" t="s">
        <v>517</v>
      </c>
      <c r="E4" s="80" t="s">
        <v>578</v>
      </c>
    </row>
    <row r="5" spans="1:5" ht="48" x14ac:dyDescent="0.25">
      <c r="A5" s="86" t="s">
        <v>441</v>
      </c>
      <c r="B5" s="86" t="s">
        <v>580</v>
      </c>
      <c r="C5" s="101" t="s">
        <v>577</v>
      </c>
      <c r="D5" s="102" t="s">
        <v>417</v>
      </c>
      <c r="E5" s="80" t="s">
        <v>578</v>
      </c>
    </row>
    <row r="6" spans="1:5" ht="48" x14ac:dyDescent="0.25">
      <c r="A6" s="86" t="s">
        <v>442</v>
      </c>
      <c r="B6" s="86" t="s">
        <v>581</v>
      </c>
      <c r="C6" s="101" t="s">
        <v>577</v>
      </c>
      <c r="D6" s="102" t="s">
        <v>418</v>
      </c>
      <c r="E6" s="80" t="s">
        <v>578</v>
      </c>
    </row>
    <row r="7" spans="1:5" ht="19.5" customHeight="1" x14ac:dyDescent="0.25"/>
    <row r="8" spans="1:5" ht="19.5" customHeight="1" x14ac:dyDescent="0.25"/>
    <row r="9" spans="1:5" ht="19.5" customHeight="1" x14ac:dyDescent="0.25"/>
    <row r="10" spans="1:5" ht="19.5" customHeight="1" x14ac:dyDescent="0.25"/>
    <row r="11" spans="1:5" ht="19.5" customHeight="1" x14ac:dyDescent="0.25"/>
    <row r="12" spans="1:5" ht="19.5" customHeight="1" x14ac:dyDescent="0.25"/>
    <row r="13" spans="1:5" ht="19.5" customHeight="1" x14ac:dyDescent="0.25"/>
    <row r="14" spans="1:5" ht="19.5" customHeight="1" x14ac:dyDescent="0.25"/>
    <row r="15" spans="1:5" ht="19.5" customHeight="1" x14ac:dyDescent="0.25"/>
    <row r="16" spans="1:5" ht="19.5" customHeight="1" x14ac:dyDescent="0.25"/>
    <row r="17" ht="19.5" customHeight="1" x14ac:dyDescent="0.25"/>
    <row r="18" ht="19.5" customHeight="1" x14ac:dyDescent="0.25"/>
    <row r="19" ht="19.5" customHeight="1" x14ac:dyDescent="0.25"/>
    <row r="20" ht="19.5" customHeight="1" x14ac:dyDescent="0.25"/>
    <row r="21" ht="19.5" customHeight="1" x14ac:dyDescent="0.25"/>
    <row r="22" ht="19.5" customHeight="1" x14ac:dyDescent="0.25"/>
    <row r="23" ht="19.5" customHeight="1" x14ac:dyDescent="0.25"/>
    <row r="24" ht="19.5" customHeight="1" x14ac:dyDescent="0.25"/>
    <row r="25" ht="19.5" customHeight="1" x14ac:dyDescent="0.25"/>
    <row r="26" ht="19.5" customHeight="1" x14ac:dyDescent="0.25"/>
    <row r="27" ht="19.5" customHeight="1" x14ac:dyDescent="0.25"/>
    <row r="28" ht="19.5" customHeight="1" x14ac:dyDescent="0.25"/>
    <row r="29" ht="19.5" customHeight="1" x14ac:dyDescent="0.25"/>
    <row r="30" ht="19.5" customHeight="1" x14ac:dyDescent="0.25"/>
    <row r="31" ht="19.5" customHeight="1" x14ac:dyDescent="0.25"/>
    <row r="32"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sheetData>
  <mergeCells count="1">
    <mergeCell ref="A1:E1"/>
  </mergeCells>
  <phoneticPr fontId="21" type="noConversion"/>
  <printOptions horizontalCentered="1"/>
  <pageMargins left="0.25" right="0.25" top="0.75" bottom="0.75" header="0.3" footer="0.3"/>
  <pageSetup paperSize="9" fitToHeight="0" orientation="landscape" r:id="rId1"/>
  <headerFooter>
    <oddHeader>&amp;L&amp;G&amp;R&amp;"+,보통"&amp;10&amp;F</oddHeader>
    <oddFooter>&amp;L&amp;"+,보통"&amp;10마이데이터 지원 플랫폼 구축(2차)&amp;R&amp;G</oddFooter>
  </headerFooter>
  <colBreaks count="1" manualBreakCount="1">
    <brk id="4" max="1048575" man="1"/>
  </colBreaks>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구분선택!$A$1:$A$3</xm:f>
          </x14:formula1>
          <xm:sqref>E3:E6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108"/>
  <sheetViews>
    <sheetView view="pageLayout" zoomScaleNormal="85" zoomScaleSheetLayoutView="100" workbookViewId="0">
      <selection activeCell="C4" sqref="C4"/>
    </sheetView>
  </sheetViews>
  <sheetFormatPr defaultColWidth="8.9140625" defaultRowHeight="16" x14ac:dyDescent="0.25"/>
  <cols>
    <col min="1" max="1" width="27.25" style="78" customWidth="1"/>
    <col min="2" max="2" width="55.58203125" style="83" customWidth="1"/>
    <col min="3" max="3" width="9.4140625" style="83" customWidth="1"/>
    <col min="4" max="4" width="66.6640625" style="84" customWidth="1"/>
    <col min="5" max="5" width="16.6640625" style="78" customWidth="1"/>
    <col min="6" max="16384" width="8.9140625" style="78"/>
  </cols>
  <sheetData>
    <row r="1" spans="1:5" s="96" customFormat="1" ht="45" customHeight="1" x14ac:dyDescent="0.25">
      <c r="A1" s="222" t="s">
        <v>402</v>
      </c>
      <c r="B1" s="222"/>
      <c r="C1" s="222"/>
      <c r="D1" s="222"/>
    </row>
    <row r="2" spans="1:5" ht="19.5" customHeight="1" x14ac:dyDescent="0.25">
      <c r="A2" s="97" t="s">
        <v>469</v>
      </c>
      <c r="B2" s="97" t="s">
        <v>470</v>
      </c>
      <c r="C2" s="97" t="s">
        <v>471</v>
      </c>
      <c r="D2" s="97" t="s">
        <v>472</v>
      </c>
      <c r="E2" s="112" t="s">
        <v>481</v>
      </c>
    </row>
    <row r="3" spans="1:5" ht="33" customHeight="1" x14ac:dyDescent="0.25">
      <c r="A3" s="86" t="s">
        <v>436</v>
      </c>
      <c r="B3" s="86" t="s">
        <v>566</v>
      </c>
      <c r="C3" s="101" t="s">
        <v>577</v>
      </c>
      <c r="D3" s="102" t="s">
        <v>565</v>
      </c>
      <c r="E3" s="80" t="s">
        <v>502</v>
      </c>
    </row>
    <row r="4" spans="1:5" ht="33" customHeight="1" x14ac:dyDescent="0.25">
      <c r="A4" s="86" t="s">
        <v>437</v>
      </c>
      <c r="B4" s="86" t="s">
        <v>518</v>
      </c>
      <c r="C4" s="101" t="s">
        <v>577</v>
      </c>
      <c r="D4" s="102" t="s">
        <v>567</v>
      </c>
      <c r="E4" s="80" t="s">
        <v>502</v>
      </c>
    </row>
    <row r="5" spans="1:5" ht="19.5" customHeight="1" x14ac:dyDescent="0.25"/>
    <row r="6" spans="1:5" ht="19.5" customHeight="1" x14ac:dyDescent="0.25"/>
    <row r="7" spans="1:5" ht="19.5" customHeight="1" x14ac:dyDescent="0.25"/>
    <row r="8" spans="1:5" ht="19.5" customHeight="1" x14ac:dyDescent="0.25"/>
    <row r="9" spans="1:5" ht="19.5" customHeight="1" x14ac:dyDescent="0.25"/>
    <row r="10" spans="1:5" ht="19.5" customHeight="1" x14ac:dyDescent="0.25"/>
    <row r="11" spans="1:5" ht="19.5" customHeight="1" x14ac:dyDescent="0.25"/>
    <row r="12" spans="1:5" ht="19.5" customHeight="1" x14ac:dyDescent="0.25"/>
    <row r="13" spans="1:5" ht="19.5" customHeight="1" x14ac:dyDescent="0.25"/>
    <row r="14" spans="1:5" ht="19.5" customHeight="1" x14ac:dyDescent="0.25"/>
    <row r="15" spans="1:5" ht="19.5" customHeight="1" x14ac:dyDescent="0.25"/>
    <row r="16" spans="1:5" ht="19.5" customHeight="1" x14ac:dyDescent="0.25"/>
    <row r="17" ht="19.5" customHeight="1" x14ac:dyDescent="0.25"/>
    <row r="18" ht="19.5" customHeight="1" x14ac:dyDescent="0.25"/>
    <row r="19" ht="19.5" customHeight="1" x14ac:dyDescent="0.25"/>
    <row r="20" ht="19.5" customHeight="1" x14ac:dyDescent="0.25"/>
    <row r="21" ht="19.5" customHeight="1" x14ac:dyDescent="0.25"/>
    <row r="22" ht="19.5" customHeight="1" x14ac:dyDescent="0.25"/>
    <row r="23" ht="19.5" customHeight="1" x14ac:dyDescent="0.25"/>
    <row r="24" ht="19.5" customHeight="1" x14ac:dyDescent="0.25"/>
    <row r="25" ht="19.5" customHeight="1" x14ac:dyDescent="0.25"/>
    <row r="26" ht="19.5" customHeight="1" x14ac:dyDescent="0.25"/>
    <row r="27" ht="19.5" customHeight="1" x14ac:dyDescent="0.25"/>
    <row r="28" ht="19.5" customHeight="1" x14ac:dyDescent="0.25"/>
    <row r="29" ht="19.5" customHeight="1" x14ac:dyDescent="0.25"/>
    <row r="30" ht="19.5" customHeight="1" x14ac:dyDescent="0.25"/>
    <row r="31" ht="19.5" customHeight="1" x14ac:dyDescent="0.25"/>
    <row r="32"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sheetData>
  <mergeCells count="1">
    <mergeCell ref="A1:D1"/>
  </mergeCells>
  <phoneticPr fontId="21" type="noConversion"/>
  <printOptions horizontalCentered="1"/>
  <pageMargins left="0.25" right="0.25" top="0.75" bottom="0.75" header="0.3" footer="0.3"/>
  <pageSetup paperSize="9" scale="70" fitToHeight="0" orientation="landscape" r:id="rId1"/>
  <headerFooter>
    <oddHeader>&amp;L&amp;G&amp;R&amp;"+,보통"&amp;10&amp;F</oddHeader>
    <oddFooter>&amp;L&amp;"+,보통"&amp;10마이데이터 지원 플랫폼 구축(2차)&amp;R&amp;G</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구분선택!$A$1:$A$3</xm:f>
          </x14:formula1>
          <xm:sqref>E3:E4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136"/>
  <sheetViews>
    <sheetView tabSelected="1" view="pageLayout" zoomScaleNormal="85" zoomScaleSheetLayoutView="100" workbookViewId="0">
      <selection activeCell="C17" sqref="C17"/>
    </sheetView>
  </sheetViews>
  <sheetFormatPr defaultColWidth="8.9140625" defaultRowHeight="16" x14ac:dyDescent="0.25"/>
  <cols>
    <col min="1" max="1" width="15.6640625" style="88" customWidth="1"/>
    <col min="2" max="2" width="17.25" style="84" customWidth="1"/>
    <col min="3" max="3" width="68.9140625" style="83" customWidth="1"/>
    <col min="4" max="4" width="9.33203125" style="84" customWidth="1"/>
    <col min="5" max="5" width="11.08203125" style="88" customWidth="1"/>
    <col min="6" max="6" width="28" style="88" customWidth="1"/>
    <col min="7" max="7" width="16.6640625" style="78" customWidth="1"/>
    <col min="8" max="16384" width="8.9140625" style="78"/>
  </cols>
  <sheetData>
    <row r="1" spans="1:7" s="96" customFormat="1" ht="45" customHeight="1" x14ac:dyDescent="0.25">
      <c r="A1" s="273" t="s">
        <v>403</v>
      </c>
      <c r="B1" s="273"/>
      <c r="C1" s="273"/>
      <c r="D1" s="273"/>
      <c r="E1" s="273"/>
      <c r="F1" s="273"/>
      <c r="G1" s="273"/>
    </row>
    <row r="2" spans="1:7" ht="19.5" customHeight="1" x14ac:dyDescent="0.25">
      <c r="A2" s="97" t="s">
        <v>468</v>
      </c>
      <c r="B2" s="97" t="s">
        <v>469</v>
      </c>
      <c r="C2" s="97" t="s">
        <v>470</v>
      </c>
      <c r="D2" s="97" t="s">
        <v>471</v>
      </c>
      <c r="E2" s="97" t="s">
        <v>472</v>
      </c>
      <c r="F2" s="97" t="s">
        <v>473</v>
      </c>
      <c r="G2" s="112" t="s">
        <v>481</v>
      </c>
    </row>
    <row r="3" spans="1:7" ht="19.5" customHeight="1" x14ac:dyDescent="0.25">
      <c r="A3" s="274" t="s">
        <v>250</v>
      </c>
      <c r="B3" s="274" t="s">
        <v>226</v>
      </c>
      <c r="C3" s="79" t="s">
        <v>251</v>
      </c>
      <c r="D3" s="169" t="s">
        <v>576</v>
      </c>
      <c r="E3" s="169" t="s">
        <v>570</v>
      </c>
      <c r="F3" s="170" t="s">
        <v>571</v>
      </c>
      <c r="G3" s="169" t="s">
        <v>502</v>
      </c>
    </row>
    <row r="4" spans="1:7" ht="19.5" customHeight="1" x14ac:dyDescent="0.25">
      <c r="A4" s="274"/>
      <c r="B4" s="274"/>
      <c r="C4" s="79" t="s">
        <v>252</v>
      </c>
      <c r="D4" s="169" t="s">
        <v>569</v>
      </c>
      <c r="E4" s="169" t="s">
        <v>570</v>
      </c>
      <c r="F4" s="170" t="s">
        <v>571</v>
      </c>
      <c r="G4" s="169" t="s">
        <v>502</v>
      </c>
    </row>
    <row r="5" spans="1:7" ht="19.5" customHeight="1" x14ac:dyDescent="0.25">
      <c r="A5" s="274"/>
      <c r="B5" s="274"/>
      <c r="C5" s="79" t="s">
        <v>253</v>
      </c>
      <c r="D5" s="169" t="s">
        <v>569</v>
      </c>
      <c r="E5" s="169" t="s">
        <v>570</v>
      </c>
      <c r="F5" s="170" t="s">
        <v>571</v>
      </c>
      <c r="G5" s="169" t="s">
        <v>502</v>
      </c>
    </row>
    <row r="6" spans="1:7" ht="19.5" customHeight="1" x14ac:dyDescent="0.25">
      <c r="A6" s="274"/>
      <c r="B6" s="274"/>
      <c r="C6" s="79" t="s">
        <v>254</v>
      </c>
      <c r="D6" s="169" t="s">
        <v>569</v>
      </c>
      <c r="E6" s="169" t="s">
        <v>570</v>
      </c>
      <c r="F6" s="170" t="s">
        <v>571</v>
      </c>
      <c r="G6" s="169" t="s">
        <v>502</v>
      </c>
    </row>
    <row r="7" spans="1:7" ht="19.5" customHeight="1" x14ac:dyDescent="0.25">
      <c r="A7" s="274"/>
      <c r="B7" s="274" t="s">
        <v>227</v>
      </c>
      <c r="C7" s="79" t="s">
        <v>255</v>
      </c>
      <c r="D7" s="169" t="s">
        <v>569</v>
      </c>
      <c r="E7" s="169" t="s">
        <v>570</v>
      </c>
      <c r="F7" s="170" t="s">
        <v>571</v>
      </c>
      <c r="G7" s="169" t="s">
        <v>502</v>
      </c>
    </row>
    <row r="8" spans="1:7" ht="19.5" customHeight="1" x14ac:dyDescent="0.25">
      <c r="A8" s="274"/>
      <c r="B8" s="274"/>
      <c r="C8" s="79" t="s">
        <v>256</v>
      </c>
      <c r="D8" s="169" t="s">
        <v>568</v>
      </c>
      <c r="E8" s="169" t="s">
        <v>570</v>
      </c>
      <c r="F8" s="171" t="s">
        <v>572</v>
      </c>
      <c r="G8" s="169" t="s">
        <v>501</v>
      </c>
    </row>
    <row r="9" spans="1:7" ht="19.5" customHeight="1" x14ac:dyDescent="0.25">
      <c r="A9" s="274"/>
      <c r="B9" s="274"/>
      <c r="C9" s="79" t="s">
        <v>257</v>
      </c>
      <c r="D9" s="169" t="s">
        <v>569</v>
      </c>
      <c r="E9" s="169" t="s">
        <v>570</v>
      </c>
      <c r="F9" s="170" t="s">
        <v>571</v>
      </c>
      <c r="G9" s="169" t="s">
        <v>502</v>
      </c>
    </row>
    <row r="10" spans="1:7" ht="19.5" customHeight="1" x14ac:dyDescent="0.25">
      <c r="A10" s="274"/>
      <c r="B10" s="274"/>
      <c r="C10" s="79" t="s">
        <v>258</v>
      </c>
      <c r="D10" s="169" t="s">
        <v>569</v>
      </c>
      <c r="E10" s="169" t="s">
        <v>570</v>
      </c>
      <c r="F10" s="170" t="s">
        <v>571</v>
      </c>
      <c r="G10" s="169" t="s">
        <v>502</v>
      </c>
    </row>
    <row r="11" spans="1:7" ht="19.5" customHeight="1" x14ac:dyDescent="0.25">
      <c r="A11" s="274" t="s">
        <v>259</v>
      </c>
      <c r="B11" s="274" t="s">
        <v>228</v>
      </c>
      <c r="C11" s="79" t="s">
        <v>260</v>
      </c>
      <c r="D11" s="169" t="s">
        <v>569</v>
      </c>
      <c r="E11" s="169" t="s">
        <v>570</v>
      </c>
      <c r="F11" s="170" t="s">
        <v>571</v>
      </c>
      <c r="G11" s="169" t="s">
        <v>502</v>
      </c>
    </row>
    <row r="12" spans="1:7" ht="19.5" customHeight="1" x14ac:dyDescent="0.25">
      <c r="A12" s="274"/>
      <c r="B12" s="274"/>
      <c r="C12" s="79" t="s">
        <v>261</v>
      </c>
      <c r="D12" s="169" t="s">
        <v>569</v>
      </c>
      <c r="E12" s="169" t="s">
        <v>570</v>
      </c>
      <c r="F12" s="170" t="s">
        <v>571</v>
      </c>
      <c r="G12" s="169" t="s">
        <v>502</v>
      </c>
    </row>
    <row r="13" spans="1:7" ht="19.5" customHeight="1" x14ac:dyDescent="0.25">
      <c r="A13" s="274"/>
      <c r="B13" s="274"/>
      <c r="C13" s="79" t="s">
        <v>262</v>
      </c>
      <c r="D13" s="169" t="s">
        <v>569</v>
      </c>
      <c r="E13" s="169" t="s">
        <v>570</v>
      </c>
      <c r="F13" s="170" t="s">
        <v>571</v>
      </c>
      <c r="G13" s="169" t="s">
        <v>502</v>
      </c>
    </row>
    <row r="14" spans="1:7" ht="19.5" customHeight="1" x14ac:dyDescent="0.25">
      <c r="A14" s="274"/>
      <c r="B14" s="274"/>
      <c r="C14" s="79" t="s">
        <v>263</v>
      </c>
      <c r="D14" s="169" t="s">
        <v>569</v>
      </c>
      <c r="E14" s="169" t="s">
        <v>570</v>
      </c>
      <c r="F14" s="170" t="s">
        <v>571</v>
      </c>
      <c r="G14" s="169" t="s">
        <v>502</v>
      </c>
    </row>
    <row r="15" spans="1:7" ht="19.5" customHeight="1" x14ac:dyDescent="0.25">
      <c r="A15" s="274"/>
      <c r="B15" s="274"/>
      <c r="C15" s="79" t="s">
        <v>264</v>
      </c>
      <c r="D15" s="169" t="s">
        <v>569</v>
      </c>
      <c r="E15" s="169" t="s">
        <v>570</v>
      </c>
      <c r="F15" s="170" t="s">
        <v>571</v>
      </c>
      <c r="G15" s="169" t="s">
        <v>502</v>
      </c>
    </row>
    <row r="16" spans="1:7" ht="19.5" customHeight="1" x14ac:dyDescent="0.25">
      <c r="A16" s="274"/>
      <c r="B16" s="274" t="s">
        <v>229</v>
      </c>
      <c r="C16" s="79" t="s">
        <v>265</v>
      </c>
      <c r="D16" s="169" t="s">
        <v>569</v>
      </c>
      <c r="E16" s="169" t="s">
        <v>570</v>
      </c>
      <c r="F16" s="170" t="s">
        <v>571</v>
      </c>
      <c r="G16" s="169" t="s">
        <v>502</v>
      </c>
    </row>
    <row r="17" spans="1:7" ht="19.5" customHeight="1" x14ac:dyDescent="0.25">
      <c r="A17" s="274"/>
      <c r="B17" s="274"/>
      <c r="C17" s="79" t="s">
        <v>266</v>
      </c>
      <c r="D17" s="169" t="s">
        <v>569</v>
      </c>
      <c r="E17" s="169" t="s">
        <v>570</v>
      </c>
      <c r="F17" s="170" t="s">
        <v>571</v>
      </c>
      <c r="G17" s="169" t="s">
        <v>502</v>
      </c>
    </row>
    <row r="18" spans="1:7" ht="19.5" customHeight="1" x14ac:dyDescent="0.25">
      <c r="A18" s="274"/>
      <c r="B18" s="274" t="s">
        <v>230</v>
      </c>
      <c r="C18" s="79" t="s">
        <v>267</v>
      </c>
      <c r="D18" s="169" t="s">
        <v>569</v>
      </c>
      <c r="E18" s="169" t="s">
        <v>570</v>
      </c>
      <c r="F18" s="170" t="s">
        <v>571</v>
      </c>
      <c r="G18" s="169" t="s">
        <v>502</v>
      </c>
    </row>
    <row r="19" spans="1:7" ht="19.5" customHeight="1" x14ac:dyDescent="0.25">
      <c r="A19" s="274"/>
      <c r="B19" s="274"/>
      <c r="C19" s="79" t="s">
        <v>268</v>
      </c>
      <c r="D19" s="169" t="s">
        <v>569</v>
      </c>
      <c r="E19" s="169" t="s">
        <v>570</v>
      </c>
      <c r="F19" s="170" t="s">
        <v>571</v>
      </c>
      <c r="G19" s="169" t="s">
        <v>502</v>
      </c>
    </row>
    <row r="20" spans="1:7" ht="19.5" customHeight="1" x14ac:dyDescent="0.25">
      <c r="A20" s="274"/>
      <c r="B20" s="274"/>
      <c r="C20" s="79" t="s">
        <v>269</v>
      </c>
      <c r="D20" s="169" t="s">
        <v>569</v>
      </c>
      <c r="E20" s="169" t="s">
        <v>570</v>
      </c>
      <c r="F20" s="170" t="s">
        <v>571</v>
      </c>
      <c r="G20" s="169" t="s">
        <v>502</v>
      </c>
    </row>
    <row r="21" spans="1:7" ht="19.5" customHeight="1" x14ac:dyDescent="0.25">
      <c r="A21" s="274"/>
      <c r="B21" s="274"/>
      <c r="C21" s="79" t="s">
        <v>270</v>
      </c>
      <c r="D21" s="169" t="s">
        <v>569</v>
      </c>
      <c r="E21" s="169" t="s">
        <v>570</v>
      </c>
      <c r="F21" s="170" t="s">
        <v>571</v>
      </c>
      <c r="G21" s="169" t="s">
        <v>502</v>
      </c>
    </row>
    <row r="22" spans="1:7" ht="19.5" customHeight="1" x14ac:dyDescent="0.25">
      <c r="A22" s="274"/>
      <c r="B22" s="274" t="s">
        <v>231</v>
      </c>
      <c r="C22" s="79" t="s">
        <v>271</v>
      </c>
      <c r="D22" s="169" t="s">
        <v>569</v>
      </c>
      <c r="E22" s="169" t="s">
        <v>570</v>
      </c>
      <c r="F22" s="170" t="s">
        <v>571</v>
      </c>
      <c r="G22" s="169" t="s">
        <v>502</v>
      </c>
    </row>
    <row r="23" spans="1:7" ht="19.5" customHeight="1" x14ac:dyDescent="0.25">
      <c r="A23" s="274"/>
      <c r="B23" s="274"/>
      <c r="C23" s="79" t="s">
        <v>272</v>
      </c>
      <c r="D23" s="169" t="s">
        <v>569</v>
      </c>
      <c r="E23" s="169" t="s">
        <v>570</v>
      </c>
      <c r="F23" s="170" t="s">
        <v>571</v>
      </c>
      <c r="G23" s="169" t="s">
        <v>502</v>
      </c>
    </row>
    <row r="24" spans="1:7" ht="19.5" customHeight="1" x14ac:dyDescent="0.25">
      <c r="A24" s="274"/>
      <c r="B24" s="274"/>
      <c r="C24" s="79" t="s">
        <v>273</v>
      </c>
      <c r="D24" s="169" t="s">
        <v>569</v>
      </c>
      <c r="E24" s="169" t="s">
        <v>570</v>
      </c>
      <c r="F24" s="170" t="s">
        <v>571</v>
      </c>
      <c r="G24" s="169" t="s">
        <v>502</v>
      </c>
    </row>
    <row r="25" spans="1:7" ht="19.5" customHeight="1" x14ac:dyDescent="0.25">
      <c r="A25" s="274"/>
      <c r="B25" s="274"/>
      <c r="C25" s="79" t="s">
        <v>274</v>
      </c>
      <c r="D25" s="169" t="s">
        <v>569</v>
      </c>
      <c r="E25" s="169" t="s">
        <v>570</v>
      </c>
      <c r="F25" s="170" t="s">
        <v>571</v>
      </c>
      <c r="G25" s="169" t="s">
        <v>502</v>
      </c>
    </row>
    <row r="26" spans="1:7" ht="19.5" customHeight="1" x14ac:dyDescent="0.25">
      <c r="A26" s="274"/>
      <c r="B26" s="274" t="s">
        <v>232</v>
      </c>
      <c r="C26" s="79" t="s">
        <v>275</v>
      </c>
      <c r="D26" s="169" t="s">
        <v>569</v>
      </c>
      <c r="E26" s="169" t="s">
        <v>570</v>
      </c>
      <c r="F26" s="170" t="s">
        <v>571</v>
      </c>
      <c r="G26" s="169" t="s">
        <v>502</v>
      </c>
    </row>
    <row r="27" spans="1:7" ht="19.5" customHeight="1" x14ac:dyDescent="0.25">
      <c r="A27" s="274"/>
      <c r="B27" s="274"/>
      <c r="C27" s="79" t="s">
        <v>276</v>
      </c>
      <c r="D27" s="169" t="s">
        <v>569</v>
      </c>
      <c r="E27" s="169" t="s">
        <v>570</v>
      </c>
      <c r="F27" s="170" t="s">
        <v>571</v>
      </c>
      <c r="G27" s="169" t="s">
        <v>502</v>
      </c>
    </row>
    <row r="28" spans="1:7" ht="19.5" customHeight="1" x14ac:dyDescent="0.25">
      <c r="A28" s="274" t="s">
        <v>564</v>
      </c>
      <c r="B28" s="274" t="s">
        <v>233</v>
      </c>
      <c r="C28" s="79" t="s">
        <v>277</v>
      </c>
      <c r="D28" s="169" t="s">
        <v>568</v>
      </c>
      <c r="E28" s="169" t="s">
        <v>570</v>
      </c>
      <c r="F28" s="171" t="s">
        <v>572</v>
      </c>
      <c r="G28" s="169" t="s">
        <v>501</v>
      </c>
    </row>
    <row r="29" spans="1:7" ht="19.5" customHeight="1" x14ac:dyDescent="0.25">
      <c r="A29" s="274"/>
      <c r="B29" s="274"/>
      <c r="C29" s="79" t="s">
        <v>278</v>
      </c>
      <c r="D29" s="169" t="s">
        <v>568</v>
      </c>
      <c r="E29" s="169" t="s">
        <v>570</v>
      </c>
      <c r="F29" s="171" t="s">
        <v>572</v>
      </c>
      <c r="G29" s="169" t="s">
        <v>501</v>
      </c>
    </row>
    <row r="30" spans="1:7" ht="19.5" customHeight="1" x14ac:dyDescent="0.25">
      <c r="A30" s="274"/>
      <c r="B30" s="274"/>
      <c r="C30" s="79" t="s">
        <v>279</v>
      </c>
      <c r="D30" s="169" t="s">
        <v>568</v>
      </c>
      <c r="E30" s="169" t="s">
        <v>570</v>
      </c>
      <c r="F30" s="171" t="s">
        <v>572</v>
      </c>
      <c r="G30" s="169" t="s">
        <v>501</v>
      </c>
    </row>
    <row r="31" spans="1:7" ht="19.5" customHeight="1" x14ac:dyDescent="0.25">
      <c r="A31" s="274"/>
      <c r="B31" s="274"/>
      <c r="C31" s="79" t="s">
        <v>280</v>
      </c>
      <c r="D31" s="169" t="s">
        <v>568</v>
      </c>
      <c r="E31" s="169" t="s">
        <v>570</v>
      </c>
      <c r="F31" s="171" t="s">
        <v>572</v>
      </c>
      <c r="G31" s="169" t="s">
        <v>501</v>
      </c>
    </row>
    <row r="32" spans="1:7" ht="19.5" customHeight="1" x14ac:dyDescent="0.25">
      <c r="A32" s="274"/>
      <c r="B32" s="274" t="s">
        <v>563</v>
      </c>
      <c r="C32" s="79" t="s">
        <v>281</v>
      </c>
      <c r="D32" s="169" t="s">
        <v>568</v>
      </c>
      <c r="E32" s="169" t="s">
        <v>570</v>
      </c>
      <c r="F32" s="171" t="s">
        <v>572</v>
      </c>
      <c r="G32" s="169" t="s">
        <v>501</v>
      </c>
    </row>
    <row r="33" spans="1:7" ht="19.5" customHeight="1" x14ac:dyDescent="0.25">
      <c r="A33" s="274"/>
      <c r="B33" s="274"/>
      <c r="C33" s="79" t="s">
        <v>282</v>
      </c>
      <c r="D33" s="169" t="s">
        <v>568</v>
      </c>
      <c r="E33" s="169" t="s">
        <v>570</v>
      </c>
      <c r="F33" s="171" t="s">
        <v>572</v>
      </c>
      <c r="G33" s="169" t="s">
        <v>501</v>
      </c>
    </row>
    <row r="34" spans="1:7" ht="19.5" customHeight="1" x14ac:dyDescent="0.25">
      <c r="A34" s="274"/>
      <c r="B34" s="274"/>
      <c r="C34" s="79" t="s">
        <v>283</v>
      </c>
      <c r="D34" s="169" t="s">
        <v>568</v>
      </c>
      <c r="E34" s="169" t="s">
        <v>570</v>
      </c>
      <c r="F34" s="171" t="s">
        <v>572</v>
      </c>
      <c r="G34" s="169" t="s">
        <v>501</v>
      </c>
    </row>
    <row r="35" spans="1:7" ht="19.5" customHeight="1" x14ac:dyDescent="0.25">
      <c r="A35" s="274"/>
      <c r="B35" s="274" t="s">
        <v>234</v>
      </c>
      <c r="C35" s="79" t="s">
        <v>284</v>
      </c>
      <c r="D35" s="169" t="s">
        <v>569</v>
      </c>
      <c r="E35" s="169" t="s">
        <v>570</v>
      </c>
      <c r="F35" s="170" t="s">
        <v>571</v>
      </c>
      <c r="G35" s="169" t="s">
        <v>502</v>
      </c>
    </row>
    <row r="36" spans="1:7" ht="19.5" customHeight="1" x14ac:dyDescent="0.25">
      <c r="A36" s="274"/>
      <c r="B36" s="274"/>
      <c r="C36" s="79" t="s">
        <v>285</v>
      </c>
      <c r="D36" s="169" t="s">
        <v>569</v>
      </c>
      <c r="E36" s="169" t="s">
        <v>570</v>
      </c>
      <c r="F36" s="170" t="s">
        <v>571</v>
      </c>
      <c r="G36" s="169" t="s">
        <v>502</v>
      </c>
    </row>
    <row r="37" spans="1:7" ht="19.5" customHeight="1" x14ac:dyDescent="0.25">
      <c r="A37" s="274"/>
      <c r="B37" s="274"/>
      <c r="C37" s="79" t="s">
        <v>286</v>
      </c>
      <c r="D37" s="169" t="s">
        <v>569</v>
      </c>
      <c r="E37" s="169" t="s">
        <v>570</v>
      </c>
      <c r="F37" s="170" t="s">
        <v>571</v>
      </c>
      <c r="G37" s="169" t="s">
        <v>502</v>
      </c>
    </row>
    <row r="38" spans="1:7" ht="19.5" customHeight="1" x14ac:dyDescent="0.25">
      <c r="A38" s="274"/>
      <c r="B38" s="274"/>
      <c r="C38" s="79" t="s">
        <v>287</v>
      </c>
      <c r="D38" s="169" t="s">
        <v>569</v>
      </c>
      <c r="E38" s="169" t="s">
        <v>570</v>
      </c>
      <c r="F38" s="170" t="s">
        <v>571</v>
      </c>
      <c r="G38" s="169" t="s">
        <v>502</v>
      </c>
    </row>
    <row r="39" spans="1:7" ht="19.5" customHeight="1" x14ac:dyDescent="0.25">
      <c r="A39" s="274" t="s">
        <v>288</v>
      </c>
      <c r="B39" s="274" t="s">
        <v>235</v>
      </c>
      <c r="C39" s="79" t="s">
        <v>289</v>
      </c>
      <c r="D39" s="169" t="s">
        <v>568</v>
      </c>
      <c r="E39" s="169" t="s">
        <v>570</v>
      </c>
      <c r="F39" s="171" t="s">
        <v>572</v>
      </c>
      <c r="G39" s="169" t="s">
        <v>501</v>
      </c>
    </row>
    <row r="40" spans="1:7" ht="19.5" customHeight="1" x14ac:dyDescent="0.25">
      <c r="A40" s="274"/>
      <c r="B40" s="274"/>
      <c r="C40" s="79" t="s">
        <v>290</v>
      </c>
      <c r="D40" s="169" t="s">
        <v>568</v>
      </c>
      <c r="E40" s="169" t="s">
        <v>570</v>
      </c>
      <c r="F40" s="171" t="s">
        <v>572</v>
      </c>
      <c r="G40" s="169" t="s">
        <v>501</v>
      </c>
    </row>
    <row r="41" spans="1:7" ht="19.5" customHeight="1" x14ac:dyDescent="0.25">
      <c r="A41" s="274"/>
      <c r="B41" s="274"/>
      <c r="C41" s="79" t="s">
        <v>291</v>
      </c>
      <c r="D41" s="169" t="s">
        <v>568</v>
      </c>
      <c r="E41" s="169" t="s">
        <v>570</v>
      </c>
      <c r="F41" s="171" t="s">
        <v>572</v>
      </c>
      <c r="G41" s="169" t="s">
        <v>501</v>
      </c>
    </row>
    <row r="42" spans="1:7" ht="19.5" customHeight="1" x14ac:dyDescent="0.25">
      <c r="A42" s="274"/>
      <c r="B42" s="274"/>
      <c r="C42" s="79" t="s">
        <v>292</v>
      </c>
      <c r="D42" s="169" t="s">
        <v>568</v>
      </c>
      <c r="E42" s="169" t="s">
        <v>570</v>
      </c>
      <c r="F42" s="171" t="s">
        <v>572</v>
      </c>
      <c r="G42" s="169" t="s">
        <v>501</v>
      </c>
    </row>
    <row r="43" spans="1:7" ht="19.5" customHeight="1" x14ac:dyDescent="0.25">
      <c r="A43" s="274"/>
      <c r="B43" s="274"/>
      <c r="C43" s="79" t="s">
        <v>293</v>
      </c>
      <c r="D43" s="169" t="s">
        <v>568</v>
      </c>
      <c r="E43" s="169" t="s">
        <v>570</v>
      </c>
      <c r="F43" s="171" t="s">
        <v>572</v>
      </c>
      <c r="G43" s="169" t="s">
        <v>501</v>
      </c>
    </row>
    <row r="44" spans="1:7" ht="19.5" customHeight="1" x14ac:dyDescent="0.25">
      <c r="A44" s="274"/>
      <c r="B44" s="274" t="s">
        <v>294</v>
      </c>
      <c r="C44" s="79" t="s">
        <v>295</v>
      </c>
      <c r="D44" s="169" t="s">
        <v>568</v>
      </c>
      <c r="E44" s="169" t="s">
        <v>570</v>
      </c>
      <c r="F44" s="171" t="s">
        <v>572</v>
      </c>
      <c r="G44" s="169" t="s">
        <v>501</v>
      </c>
    </row>
    <row r="45" spans="1:7" ht="19.5" customHeight="1" x14ac:dyDescent="0.25">
      <c r="A45" s="274"/>
      <c r="B45" s="274"/>
      <c r="C45" s="79" t="s">
        <v>296</v>
      </c>
      <c r="D45" s="169" t="s">
        <v>568</v>
      </c>
      <c r="E45" s="169" t="s">
        <v>570</v>
      </c>
      <c r="F45" s="171" t="s">
        <v>572</v>
      </c>
      <c r="G45" s="169" t="s">
        <v>501</v>
      </c>
    </row>
    <row r="46" spans="1:7" ht="19.5" customHeight="1" x14ac:dyDescent="0.25">
      <c r="A46" s="274"/>
      <c r="B46" s="274"/>
      <c r="C46" s="79" t="s">
        <v>297</v>
      </c>
      <c r="D46" s="169" t="s">
        <v>568</v>
      </c>
      <c r="E46" s="169" t="s">
        <v>570</v>
      </c>
      <c r="F46" s="171" t="s">
        <v>572</v>
      </c>
      <c r="G46" s="169" t="s">
        <v>501</v>
      </c>
    </row>
    <row r="47" spans="1:7" ht="19.5" customHeight="1" x14ac:dyDescent="0.25">
      <c r="A47" s="274"/>
      <c r="B47" s="274"/>
      <c r="C47" s="79" t="s">
        <v>298</v>
      </c>
      <c r="D47" s="169" t="s">
        <v>568</v>
      </c>
      <c r="E47" s="169" t="s">
        <v>570</v>
      </c>
      <c r="F47" s="171" t="s">
        <v>572</v>
      </c>
      <c r="G47" s="169" t="s">
        <v>501</v>
      </c>
    </row>
    <row r="48" spans="1:7" ht="19.5" customHeight="1" x14ac:dyDescent="0.25">
      <c r="A48" s="274"/>
      <c r="B48" s="274" t="s">
        <v>236</v>
      </c>
      <c r="C48" s="79" t="s">
        <v>299</v>
      </c>
      <c r="D48" s="169" t="s">
        <v>568</v>
      </c>
      <c r="E48" s="169" t="s">
        <v>570</v>
      </c>
      <c r="F48" s="171" t="s">
        <v>572</v>
      </c>
      <c r="G48" s="169" t="s">
        <v>501</v>
      </c>
    </row>
    <row r="49" spans="1:7" ht="19.5" customHeight="1" x14ac:dyDescent="0.25">
      <c r="A49" s="274"/>
      <c r="B49" s="274"/>
      <c r="C49" s="79" t="s">
        <v>300</v>
      </c>
      <c r="D49" s="169" t="s">
        <v>568</v>
      </c>
      <c r="E49" s="169" t="s">
        <v>570</v>
      </c>
      <c r="F49" s="171" t="s">
        <v>572</v>
      </c>
      <c r="G49" s="169" t="s">
        <v>501</v>
      </c>
    </row>
    <row r="50" spans="1:7" ht="19.5" customHeight="1" x14ac:dyDescent="0.25">
      <c r="A50" s="274"/>
      <c r="B50" s="274"/>
      <c r="C50" s="79" t="s">
        <v>301</v>
      </c>
      <c r="D50" s="169" t="s">
        <v>568</v>
      </c>
      <c r="E50" s="169" t="s">
        <v>570</v>
      </c>
      <c r="F50" s="171" t="s">
        <v>572</v>
      </c>
      <c r="G50" s="169" t="s">
        <v>501</v>
      </c>
    </row>
    <row r="51" spans="1:7" ht="19.5" customHeight="1" x14ac:dyDescent="0.25">
      <c r="A51" s="274"/>
      <c r="B51" s="274"/>
      <c r="C51" s="79" t="s">
        <v>302</v>
      </c>
      <c r="D51" s="169" t="s">
        <v>568</v>
      </c>
      <c r="E51" s="169" t="s">
        <v>570</v>
      </c>
      <c r="F51" s="171" t="s">
        <v>572</v>
      </c>
      <c r="G51" s="169" t="s">
        <v>501</v>
      </c>
    </row>
    <row r="52" spans="1:7" ht="19.5" customHeight="1" x14ac:dyDescent="0.25">
      <c r="A52" s="274"/>
      <c r="B52" s="274"/>
      <c r="C52" s="79" t="s">
        <v>303</v>
      </c>
      <c r="D52" s="169" t="s">
        <v>568</v>
      </c>
      <c r="E52" s="169" t="s">
        <v>570</v>
      </c>
      <c r="F52" s="171" t="s">
        <v>572</v>
      </c>
      <c r="G52" s="169" t="s">
        <v>501</v>
      </c>
    </row>
    <row r="53" spans="1:7" ht="19.5" customHeight="1" x14ac:dyDescent="0.25">
      <c r="A53" s="274"/>
      <c r="B53" s="274"/>
      <c r="C53" s="79" t="s">
        <v>304</v>
      </c>
      <c r="D53" s="169" t="s">
        <v>568</v>
      </c>
      <c r="E53" s="169" t="s">
        <v>570</v>
      </c>
      <c r="F53" s="171" t="s">
        <v>572</v>
      </c>
      <c r="G53" s="169" t="s">
        <v>501</v>
      </c>
    </row>
    <row r="54" spans="1:7" ht="19.5" customHeight="1" x14ac:dyDescent="0.25">
      <c r="A54" s="274"/>
      <c r="B54" s="274" t="s">
        <v>305</v>
      </c>
      <c r="C54" s="79" t="s">
        <v>306</v>
      </c>
      <c r="D54" s="169" t="s">
        <v>568</v>
      </c>
      <c r="E54" s="169" t="s">
        <v>570</v>
      </c>
      <c r="F54" s="171" t="s">
        <v>572</v>
      </c>
      <c r="G54" s="169" t="s">
        <v>501</v>
      </c>
    </row>
    <row r="55" spans="1:7" ht="19.5" customHeight="1" x14ac:dyDescent="0.25">
      <c r="A55" s="274"/>
      <c r="B55" s="274"/>
      <c r="C55" s="79" t="s">
        <v>307</v>
      </c>
      <c r="D55" s="169" t="s">
        <v>568</v>
      </c>
      <c r="E55" s="169" t="s">
        <v>570</v>
      </c>
      <c r="F55" s="171" t="s">
        <v>572</v>
      </c>
      <c r="G55" s="169" t="s">
        <v>501</v>
      </c>
    </row>
    <row r="56" spans="1:7" ht="19.5" customHeight="1" x14ac:dyDescent="0.25">
      <c r="A56" s="274"/>
      <c r="B56" s="274"/>
      <c r="C56" s="79" t="s">
        <v>308</v>
      </c>
      <c r="D56" s="169" t="s">
        <v>568</v>
      </c>
      <c r="E56" s="169" t="s">
        <v>570</v>
      </c>
      <c r="F56" s="171" t="s">
        <v>572</v>
      </c>
      <c r="G56" s="169" t="s">
        <v>501</v>
      </c>
    </row>
    <row r="57" spans="1:7" ht="19.5" customHeight="1" x14ac:dyDescent="0.25">
      <c r="A57" s="274"/>
      <c r="B57" s="274"/>
      <c r="C57" s="79" t="s">
        <v>309</v>
      </c>
      <c r="D57" s="169" t="s">
        <v>568</v>
      </c>
      <c r="E57" s="169" t="s">
        <v>570</v>
      </c>
      <c r="F57" s="171" t="s">
        <v>572</v>
      </c>
      <c r="G57" s="169" t="s">
        <v>501</v>
      </c>
    </row>
    <row r="58" spans="1:7" ht="19.5" customHeight="1" x14ac:dyDescent="0.25">
      <c r="A58" s="274"/>
      <c r="B58" s="274"/>
      <c r="C58" s="79" t="s">
        <v>310</v>
      </c>
      <c r="D58" s="169" t="s">
        <v>568</v>
      </c>
      <c r="E58" s="169" t="s">
        <v>570</v>
      </c>
      <c r="F58" s="171" t="s">
        <v>572</v>
      </c>
      <c r="G58" s="169" t="s">
        <v>501</v>
      </c>
    </row>
    <row r="59" spans="1:7" ht="19.5" customHeight="1" x14ac:dyDescent="0.25">
      <c r="A59" s="274"/>
      <c r="B59" s="274"/>
      <c r="C59" s="79" t="s">
        <v>311</v>
      </c>
      <c r="D59" s="169" t="s">
        <v>568</v>
      </c>
      <c r="E59" s="169" t="s">
        <v>570</v>
      </c>
      <c r="F59" s="171" t="s">
        <v>572</v>
      </c>
      <c r="G59" s="169" t="s">
        <v>501</v>
      </c>
    </row>
    <row r="60" spans="1:7" ht="19.5" customHeight="1" x14ac:dyDescent="0.25">
      <c r="A60" s="274"/>
      <c r="B60" s="274" t="s">
        <v>312</v>
      </c>
      <c r="C60" s="79" t="s">
        <v>313</v>
      </c>
      <c r="D60" s="169" t="s">
        <v>568</v>
      </c>
      <c r="E60" s="169" t="s">
        <v>570</v>
      </c>
      <c r="F60" s="171" t="s">
        <v>572</v>
      </c>
      <c r="G60" s="169" t="s">
        <v>501</v>
      </c>
    </row>
    <row r="61" spans="1:7" ht="19.5" customHeight="1" x14ac:dyDescent="0.25">
      <c r="A61" s="274"/>
      <c r="B61" s="274"/>
      <c r="C61" s="79" t="s">
        <v>314</v>
      </c>
      <c r="D61" s="169" t="s">
        <v>568</v>
      </c>
      <c r="E61" s="169" t="s">
        <v>570</v>
      </c>
      <c r="F61" s="171" t="s">
        <v>572</v>
      </c>
      <c r="G61" s="169" t="s">
        <v>501</v>
      </c>
    </row>
    <row r="62" spans="1:7" ht="19.5" customHeight="1" x14ac:dyDescent="0.25">
      <c r="A62" s="274"/>
      <c r="B62" s="274"/>
      <c r="C62" s="79" t="s">
        <v>315</v>
      </c>
      <c r="D62" s="169" t="s">
        <v>568</v>
      </c>
      <c r="E62" s="169" t="s">
        <v>570</v>
      </c>
      <c r="F62" s="171" t="s">
        <v>572</v>
      </c>
      <c r="G62" s="169" t="s">
        <v>501</v>
      </c>
    </row>
    <row r="63" spans="1:7" ht="19.5" customHeight="1" x14ac:dyDescent="0.25">
      <c r="A63" s="274"/>
      <c r="B63" s="274"/>
      <c r="C63" s="79" t="s">
        <v>316</v>
      </c>
      <c r="D63" s="169" t="s">
        <v>568</v>
      </c>
      <c r="E63" s="169" t="s">
        <v>570</v>
      </c>
      <c r="F63" s="171" t="s">
        <v>572</v>
      </c>
      <c r="G63" s="169" t="s">
        <v>501</v>
      </c>
    </row>
    <row r="64" spans="1:7" ht="19.5" customHeight="1" x14ac:dyDescent="0.25">
      <c r="A64" s="274"/>
      <c r="B64" s="274" t="s">
        <v>237</v>
      </c>
      <c r="C64" s="79" t="s">
        <v>317</v>
      </c>
      <c r="D64" s="169" t="s">
        <v>568</v>
      </c>
      <c r="E64" s="169" t="s">
        <v>570</v>
      </c>
      <c r="F64" s="171" t="s">
        <v>572</v>
      </c>
      <c r="G64" s="169" t="s">
        <v>501</v>
      </c>
    </row>
    <row r="65" spans="1:7" ht="19.5" customHeight="1" x14ac:dyDescent="0.25">
      <c r="A65" s="274"/>
      <c r="B65" s="274"/>
      <c r="C65" s="79" t="s">
        <v>318</v>
      </c>
      <c r="D65" s="169" t="s">
        <v>568</v>
      </c>
      <c r="E65" s="169" t="s">
        <v>570</v>
      </c>
      <c r="F65" s="171" t="s">
        <v>572</v>
      </c>
      <c r="G65" s="169" t="s">
        <v>501</v>
      </c>
    </row>
    <row r="66" spans="1:7" ht="19.5" customHeight="1" x14ac:dyDescent="0.25">
      <c r="A66" s="274"/>
      <c r="B66" s="274"/>
      <c r="C66" s="79" t="s">
        <v>319</v>
      </c>
      <c r="D66" s="169" t="s">
        <v>568</v>
      </c>
      <c r="E66" s="169" t="s">
        <v>570</v>
      </c>
      <c r="F66" s="171" t="s">
        <v>572</v>
      </c>
      <c r="G66" s="169" t="s">
        <v>501</v>
      </c>
    </row>
    <row r="67" spans="1:7" ht="19.5" customHeight="1" x14ac:dyDescent="0.25">
      <c r="A67" s="274"/>
      <c r="B67" s="274"/>
      <c r="C67" s="79" t="s">
        <v>320</v>
      </c>
      <c r="D67" s="169" t="s">
        <v>568</v>
      </c>
      <c r="E67" s="169" t="s">
        <v>570</v>
      </c>
      <c r="F67" s="171" t="s">
        <v>572</v>
      </c>
      <c r="G67" s="169" t="s">
        <v>501</v>
      </c>
    </row>
    <row r="68" spans="1:7" ht="19.5" customHeight="1" x14ac:dyDescent="0.25">
      <c r="A68" s="274" t="s">
        <v>321</v>
      </c>
      <c r="B68" s="274" t="s">
        <v>238</v>
      </c>
      <c r="C68" s="79" t="s">
        <v>322</v>
      </c>
      <c r="D68" s="169" t="s">
        <v>569</v>
      </c>
      <c r="E68" s="169" t="s">
        <v>570</v>
      </c>
      <c r="F68" s="170" t="s">
        <v>571</v>
      </c>
      <c r="G68" s="169" t="s">
        <v>502</v>
      </c>
    </row>
    <row r="69" spans="1:7" ht="19.5" customHeight="1" x14ac:dyDescent="0.25">
      <c r="A69" s="274"/>
      <c r="B69" s="274"/>
      <c r="C69" s="79" t="s">
        <v>323</v>
      </c>
      <c r="D69" s="169" t="s">
        <v>569</v>
      </c>
      <c r="E69" s="169" t="s">
        <v>570</v>
      </c>
      <c r="F69" s="170" t="s">
        <v>571</v>
      </c>
      <c r="G69" s="169" t="s">
        <v>502</v>
      </c>
    </row>
    <row r="70" spans="1:7" ht="19.5" customHeight="1" x14ac:dyDescent="0.25">
      <c r="A70" s="274"/>
      <c r="B70" s="274"/>
      <c r="C70" s="79" t="s">
        <v>324</v>
      </c>
      <c r="D70" s="169" t="s">
        <v>569</v>
      </c>
      <c r="E70" s="169" t="s">
        <v>570</v>
      </c>
      <c r="F70" s="170" t="s">
        <v>571</v>
      </c>
      <c r="G70" s="169" t="s">
        <v>502</v>
      </c>
    </row>
    <row r="71" spans="1:7" ht="19.5" customHeight="1" x14ac:dyDescent="0.25">
      <c r="A71" s="274"/>
      <c r="B71" s="274"/>
      <c r="C71" s="79" t="s">
        <v>325</v>
      </c>
      <c r="D71" s="169" t="s">
        <v>569</v>
      </c>
      <c r="E71" s="169" t="s">
        <v>570</v>
      </c>
      <c r="F71" s="170" t="s">
        <v>571</v>
      </c>
      <c r="G71" s="169" t="s">
        <v>502</v>
      </c>
    </row>
    <row r="72" spans="1:7" ht="19.5" customHeight="1" x14ac:dyDescent="0.25">
      <c r="A72" s="274"/>
      <c r="B72" s="274"/>
      <c r="C72" s="79" t="s">
        <v>326</v>
      </c>
      <c r="D72" s="169" t="s">
        <v>569</v>
      </c>
      <c r="E72" s="169" t="s">
        <v>570</v>
      </c>
      <c r="F72" s="170" t="s">
        <v>571</v>
      </c>
      <c r="G72" s="169" t="s">
        <v>502</v>
      </c>
    </row>
    <row r="73" spans="1:7" ht="19.5" customHeight="1" x14ac:dyDescent="0.25">
      <c r="A73" s="274"/>
      <c r="B73" s="274"/>
      <c r="C73" s="79" t="s">
        <v>327</v>
      </c>
      <c r="D73" s="169" t="s">
        <v>569</v>
      </c>
      <c r="E73" s="169" t="s">
        <v>570</v>
      </c>
      <c r="F73" s="170" t="s">
        <v>571</v>
      </c>
      <c r="G73" s="169" t="s">
        <v>502</v>
      </c>
    </row>
    <row r="74" spans="1:7" ht="19.5" customHeight="1" x14ac:dyDescent="0.25">
      <c r="A74" s="274"/>
      <c r="B74" s="274"/>
      <c r="C74" s="79" t="s">
        <v>328</v>
      </c>
      <c r="D74" s="169" t="s">
        <v>569</v>
      </c>
      <c r="E74" s="169" t="s">
        <v>570</v>
      </c>
      <c r="F74" s="170" t="s">
        <v>571</v>
      </c>
      <c r="G74" s="169" t="s">
        <v>502</v>
      </c>
    </row>
    <row r="75" spans="1:7" ht="19.5" customHeight="1" x14ac:dyDescent="0.25">
      <c r="A75" s="274"/>
      <c r="B75" s="274" t="s">
        <v>239</v>
      </c>
      <c r="C75" s="79" t="s">
        <v>329</v>
      </c>
      <c r="D75" s="169" t="s">
        <v>569</v>
      </c>
      <c r="E75" s="169" t="s">
        <v>570</v>
      </c>
      <c r="F75" s="170" t="s">
        <v>571</v>
      </c>
      <c r="G75" s="169" t="s">
        <v>502</v>
      </c>
    </row>
    <row r="76" spans="1:7" ht="19.5" customHeight="1" x14ac:dyDescent="0.25">
      <c r="A76" s="274"/>
      <c r="B76" s="274"/>
      <c r="C76" s="79" t="s">
        <v>330</v>
      </c>
      <c r="D76" s="169" t="s">
        <v>569</v>
      </c>
      <c r="E76" s="169" t="s">
        <v>570</v>
      </c>
      <c r="F76" s="170" t="s">
        <v>571</v>
      </c>
      <c r="G76" s="169" t="s">
        <v>502</v>
      </c>
    </row>
    <row r="77" spans="1:7" ht="19.5" customHeight="1" x14ac:dyDescent="0.25">
      <c r="A77" s="274"/>
      <c r="B77" s="274"/>
      <c r="C77" s="79" t="s">
        <v>331</v>
      </c>
      <c r="D77" s="169" t="s">
        <v>569</v>
      </c>
      <c r="E77" s="169" t="s">
        <v>570</v>
      </c>
      <c r="F77" s="170" t="s">
        <v>571</v>
      </c>
      <c r="G77" s="169" t="s">
        <v>502</v>
      </c>
    </row>
    <row r="78" spans="1:7" ht="19.5" customHeight="1" x14ac:dyDescent="0.25">
      <c r="A78" s="274"/>
      <c r="B78" s="274" t="s">
        <v>332</v>
      </c>
      <c r="C78" s="79" t="s">
        <v>333</v>
      </c>
      <c r="D78" s="169" t="s">
        <v>569</v>
      </c>
      <c r="E78" s="169" t="s">
        <v>570</v>
      </c>
      <c r="F78" s="170" t="s">
        <v>571</v>
      </c>
      <c r="G78" s="169" t="s">
        <v>502</v>
      </c>
    </row>
    <row r="79" spans="1:7" ht="19.5" customHeight="1" x14ac:dyDescent="0.25">
      <c r="A79" s="274"/>
      <c r="B79" s="274"/>
      <c r="C79" s="79" t="s">
        <v>334</v>
      </c>
      <c r="D79" s="169" t="s">
        <v>569</v>
      </c>
      <c r="E79" s="169" t="s">
        <v>570</v>
      </c>
      <c r="F79" s="170" t="s">
        <v>571</v>
      </c>
      <c r="G79" s="169" t="s">
        <v>502</v>
      </c>
    </row>
    <row r="80" spans="1:7" ht="19.5" customHeight="1" x14ac:dyDescent="0.25">
      <c r="A80" s="274"/>
      <c r="B80" s="274"/>
      <c r="C80" s="79" t="s">
        <v>335</v>
      </c>
      <c r="D80" s="169" t="s">
        <v>569</v>
      </c>
      <c r="E80" s="169" t="s">
        <v>570</v>
      </c>
      <c r="F80" s="170" t="s">
        <v>571</v>
      </c>
      <c r="G80" s="169" t="s">
        <v>502</v>
      </c>
    </row>
    <row r="81" spans="1:7" ht="19.5" customHeight="1" x14ac:dyDescent="0.25">
      <c r="A81" s="274"/>
      <c r="B81" s="274"/>
      <c r="C81" s="79" t="s">
        <v>336</v>
      </c>
      <c r="D81" s="169" t="s">
        <v>569</v>
      </c>
      <c r="E81" s="169" t="s">
        <v>570</v>
      </c>
      <c r="F81" s="170" t="s">
        <v>571</v>
      </c>
      <c r="G81" s="169" t="s">
        <v>502</v>
      </c>
    </row>
    <row r="82" spans="1:7" ht="19.5" customHeight="1" x14ac:dyDescent="0.25">
      <c r="A82" s="274"/>
      <c r="B82" s="274"/>
      <c r="C82" s="79" t="s">
        <v>337</v>
      </c>
      <c r="D82" s="169" t="s">
        <v>569</v>
      </c>
      <c r="E82" s="169" t="s">
        <v>570</v>
      </c>
      <c r="F82" s="170" t="s">
        <v>571</v>
      </c>
      <c r="G82" s="169" t="s">
        <v>502</v>
      </c>
    </row>
    <row r="83" spans="1:7" ht="19.5" customHeight="1" x14ac:dyDescent="0.25">
      <c r="A83" s="274"/>
      <c r="B83" s="274"/>
      <c r="C83" s="79" t="s">
        <v>338</v>
      </c>
      <c r="D83" s="169" t="s">
        <v>569</v>
      </c>
      <c r="E83" s="169" t="s">
        <v>570</v>
      </c>
      <c r="F83" s="170" t="s">
        <v>571</v>
      </c>
      <c r="G83" s="169" t="s">
        <v>502</v>
      </c>
    </row>
    <row r="84" spans="1:7" ht="19.5" customHeight="1" x14ac:dyDescent="0.25">
      <c r="A84" s="274"/>
      <c r="B84" s="274" t="s">
        <v>240</v>
      </c>
      <c r="C84" s="79" t="s">
        <v>339</v>
      </c>
      <c r="D84" s="169" t="s">
        <v>569</v>
      </c>
      <c r="E84" s="169" t="s">
        <v>570</v>
      </c>
      <c r="F84" s="170" t="s">
        <v>571</v>
      </c>
      <c r="G84" s="169" t="s">
        <v>502</v>
      </c>
    </row>
    <row r="85" spans="1:7" ht="19.5" customHeight="1" x14ac:dyDescent="0.25">
      <c r="A85" s="274"/>
      <c r="B85" s="274"/>
      <c r="C85" s="79" t="s">
        <v>340</v>
      </c>
      <c r="D85" s="169" t="s">
        <v>569</v>
      </c>
      <c r="E85" s="169" t="s">
        <v>570</v>
      </c>
      <c r="F85" s="170" t="s">
        <v>571</v>
      </c>
      <c r="G85" s="169" t="s">
        <v>502</v>
      </c>
    </row>
    <row r="86" spans="1:7" ht="19.5" customHeight="1" x14ac:dyDescent="0.25">
      <c r="A86" s="274"/>
      <c r="B86" s="274"/>
      <c r="C86" s="79" t="s">
        <v>341</v>
      </c>
      <c r="D86" s="169" t="s">
        <v>569</v>
      </c>
      <c r="E86" s="169" t="s">
        <v>570</v>
      </c>
      <c r="F86" s="170" t="s">
        <v>571</v>
      </c>
      <c r="G86" s="169" t="s">
        <v>502</v>
      </c>
    </row>
    <row r="87" spans="1:7" ht="19.5" customHeight="1" x14ac:dyDescent="0.25">
      <c r="A87" s="274" t="s">
        <v>342</v>
      </c>
      <c r="B87" s="274" t="s">
        <v>241</v>
      </c>
      <c r="C87" s="79" t="s">
        <v>343</v>
      </c>
      <c r="D87" s="169" t="s">
        <v>569</v>
      </c>
      <c r="E87" s="169" t="s">
        <v>570</v>
      </c>
      <c r="F87" s="170" t="s">
        <v>571</v>
      </c>
      <c r="G87" s="169" t="s">
        <v>502</v>
      </c>
    </row>
    <row r="88" spans="1:7" ht="19.5" customHeight="1" x14ac:dyDescent="0.25">
      <c r="A88" s="274"/>
      <c r="B88" s="274"/>
      <c r="C88" s="79" t="s">
        <v>344</v>
      </c>
      <c r="D88" s="169" t="s">
        <v>569</v>
      </c>
      <c r="E88" s="169" t="s">
        <v>570</v>
      </c>
      <c r="F88" s="170" t="s">
        <v>571</v>
      </c>
      <c r="G88" s="169" t="s">
        <v>502</v>
      </c>
    </row>
    <row r="89" spans="1:7" ht="19.5" customHeight="1" x14ac:dyDescent="0.25">
      <c r="A89" s="274"/>
      <c r="B89" s="274"/>
      <c r="C89" s="79" t="s">
        <v>345</v>
      </c>
      <c r="D89" s="169" t="s">
        <v>569</v>
      </c>
      <c r="E89" s="169" t="s">
        <v>570</v>
      </c>
      <c r="F89" s="170" t="s">
        <v>571</v>
      </c>
      <c r="G89" s="169" t="s">
        <v>502</v>
      </c>
    </row>
    <row r="90" spans="1:7" ht="19.5" customHeight="1" x14ac:dyDescent="0.25">
      <c r="A90" s="274"/>
      <c r="B90" s="274"/>
      <c r="C90" s="79" t="s">
        <v>346</v>
      </c>
      <c r="D90" s="169" t="s">
        <v>569</v>
      </c>
      <c r="E90" s="169" t="s">
        <v>570</v>
      </c>
      <c r="F90" s="170" t="s">
        <v>571</v>
      </c>
      <c r="G90" s="169" t="s">
        <v>502</v>
      </c>
    </row>
    <row r="91" spans="1:7" ht="19.5" customHeight="1" x14ac:dyDescent="0.25">
      <c r="A91" s="274"/>
      <c r="B91" s="274"/>
      <c r="C91" s="79" t="s">
        <v>347</v>
      </c>
      <c r="D91" s="169" t="s">
        <v>569</v>
      </c>
      <c r="E91" s="169" t="s">
        <v>570</v>
      </c>
      <c r="F91" s="170" t="s">
        <v>571</v>
      </c>
      <c r="G91" s="169" t="s">
        <v>502</v>
      </c>
    </row>
    <row r="92" spans="1:7" ht="19.5" customHeight="1" x14ac:dyDescent="0.25">
      <c r="A92" s="274"/>
      <c r="B92" s="274"/>
      <c r="C92" s="79" t="s">
        <v>348</v>
      </c>
      <c r="D92" s="169" t="s">
        <v>569</v>
      </c>
      <c r="E92" s="169" t="s">
        <v>570</v>
      </c>
      <c r="F92" s="170" t="s">
        <v>571</v>
      </c>
      <c r="G92" s="169" t="s">
        <v>502</v>
      </c>
    </row>
    <row r="93" spans="1:7" ht="19.5" customHeight="1" x14ac:dyDescent="0.25">
      <c r="A93" s="274"/>
      <c r="B93" s="274" t="s">
        <v>349</v>
      </c>
      <c r="C93" s="79" t="s">
        <v>350</v>
      </c>
      <c r="D93" s="169" t="s">
        <v>569</v>
      </c>
      <c r="E93" s="169" t="s">
        <v>570</v>
      </c>
      <c r="F93" s="170" t="s">
        <v>571</v>
      </c>
      <c r="G93" s="169" t="s">
        <v>502</v>
      </c>
    </row>
    <row r="94" spans="1:7" ht="19.5" customHeight="1" x14ac:dyDescent="0.25">
      <c r="A94" s="274"/>
      <c r="B94" s="274"/>
      <c r="C94" s="79" t="s">
        <v>351</v>
      </c>
      <c r="D94" s="169" t="s">
        <v>569</v>
      </c>
      <c r="E94" s="169" t="s">
        <v>570</v>
      </c>
      <c r="F94" s="170" t="s">
        <v>571</v>
      </c>
      <c r="G94" s="169" t="s">
        <v>502</v>
      </c>
    </row>
    <row r="95" spans="1:7" ht="19.5" customHeight="1" x14ac:dyDescent="0.25">
      <c r="A95" s="274"/>
      <c r="B95" s="274"/>
      <c r="C95" s="79" t="s">
        <v>352</v>
      </c>
      <c r="D95" s="169" t="s">
        <v>569</v>
      </c>
      <c r="E95" s="169" t="s">
        <v>570</v>
      </c>
      <c r="F95" s="170" t="s">
        <v>571</v>
      </c>
      <c r="G95" s="169" t="s">
        <v>502</v>
      </c>
    </row>
    <row r="96" spans="1:7" ht="19.5" customHeight="1" x14ac:dyDescent="0.25">
      <c r="A96" s="274"/>
      <c r="B96" s="274"/>
      <c r="C96" s="79" t="s">
        <v>353</v>
      </c>
      <c r="D96" s="169" t="s">
        <v>569</v>
      </c>
      <c r="E96" s="169" t="s">
        <v>570</v>
      </c>
      <c r="F96" s="170" t="s">
        <v>571</v>
      </c>
      <c r="G96" s="169" t="s">
        <v>502</v>
      </c>
    </row>
    <row r="97" spans="1:7" ht="19.5" customHeight="1" x14ac:dyDescent="0.25">
      <c r="A97" s="274" t="s">
        <v>354</v>
      </c>
      <c r="B97" s="274" t="s">
        <v>242</v>
      </c>
      <c r="C97" s="79" t="s">
        <v>355</v>
      </c>
      <c r="D97" s="169" t="s">
        <v>568</v>
      </c>
      <c r="E97" s="169" t="s">
        <v>570</v>
      </c>
      <c r="F97" s="171" t="s">
        <v>572</v>
      </c>
      <c r="G97" s="169" t="s">
        <v>501</v>
      </c>
    </row>
    <row r="98" spans="1:7" ht="19.5" customHeight="1" x14ac:dyDescent="0.25">
      <c r="A98" s="274"/>
      <c r="B98" s="274"/>
      <c r="C98" s="79" t="s">
        <v>356</v>
      </c>
      <c r="D98" s="169" t="s">
        <v>568</v>
      </c>
      <c r="E98" s="169" t="s">
        <v>570</v>
      </c>
      <c r="F98" s="171" t="s">
        <v>572</v>
      </c>
      <c r="G98" s="169" t="s">
        <v>501</v>
      </c>
    </row>
    <row r="99" spans="1:7" ht="19.5" customHeight="1" x14ac:dyDescent="0.25">
      <c r="A99" s="274"/>
      <c r="B99" s="274"/>
      <c r="C99" s="79" t="s">
        <v>357</v>
      </c>
      <c r="D99" s="169" t="s">
        <v>568</v>
      </c>
      <c r="E99" s="169" t="s">
        <v>570</v>
      </c>
      <c r="F99" s="171" t="s">
        <v>572</v>
      </c>
      <c r="G99" s="169" t="s">
        <v>501</v>
      </c>
    </row>
    <row r="100" spans="1:7" ht="19.5" customHeight="1" x14ac:dyDescent="0.25">
      <c r="A100" s="274"/>
      <c r="B100" s="274"/>
      <c r="C100" s="79" t="s">
        <v>358</v>
      </c>
      <c r="D100" s="169" t="s">
        <v>568</v>
      </c>
      <c r="E100" s="169" t="s">
        <v>570</v>
      </c>
      <c r="F100" s="171" t="s">
        <v>572</v>
      </c>
      <c r="G100" s="169" t="s">
        <v>501</v>
      </c>
    </row>
    <row r="101" spans="1:7" ht="19.5" customHeight="1" x14ac:dyDescent="0.25">
      <c r="A101" s="274"/>
      <c r="B101" s="274"/>
      <c r="C101" s="79" t="s">
        <v>359</v>
      </c>
      <c r="D101" s="169" t="s">
        <v>568</v>
      </c>
      <c r="E101" s="169" t="s">
        <v>570</v>
      </c>
      <c r="F101" s="171" t="s">
        <v>572</v>
      </c>
      <c r="G101" s="169" t="s">
        <v>501</v>
      </c>
    </row>
    <row r="102" spans="1:7" ht="19.5" customHeight="1" x14ac:dyDescent="0.25">
      <c r="A102" s="274"/>
      <c r="B102" s="274" t="s">
        <v>243</v>
      </c>
      <c r="C102" s="79" t="s">
        <v>360</v>
      </c>
      <c r="D102" s="169" t="s">
        <v>568</v>
      </c>
      <c r="E102" s="169" t="s">
        <v>570</v>
      </c>
      <c r="F102" s="171" t="s">
        <v>572</v>
      </c>
      <c r="G102" s="169" t="s">
        <v>501</v>
      </c>
    </row>
    <row r="103" spans="1:7" ht="19.5" customHeight="1" x14ac:dyDescent="0.25">
      <c r="A103" s="274"/>
      <c r="B103" s="274"/>
      <c r="C103" s="79" t="s">
        <v>361</v>
      </c>
      <c r="D103" s="169" t="s">
        <v>568</v>
      </c>
      <c r="E103" s="169" t="s">
        <v>570</v>
      </c>
      <c r="F103" s="171" t="s">
        <v>572</v>
      </c>
      <c r="G103" s="169" t="s">
        <v>501</v>
      </c>
    </row>
    <row r="104" spans="1:7" ht="19.5" customHeight="1" x14ac:dyDescent="0.25">
      <c r="A104" s="274"/>
      <c r="B104" s="274"/>
      <c r="C104" s="79" t="s">
        <v>362</v>
      </c>
      <c r="D104" s="169" t="s">
        <v>568</v>
      </c>
      <c r="E104" s="169" t="s">
        <v>570</v>
      </c>
      <c r="F104" s="171" t="s">
        <v>572</v>
      </c>
      <c r="G104" s="169" t="s">
        <v>501</v>
      </c>
    </row>
    <row r="105" spans="1:7" ht="19.5" customHeight="1" x14ac:dyDescent="0.25">
      <c r="A105" s="274"/>
      <c r="B105" s="274"/>
      <c r="C105" s="79" t="s">
        <v>363</v>
      </c>
      <c r="D105" s="169" t="s">
        <v>568</v>
      </c>
      <c r="E105" s="169" t="s">
        <v>570</v>
      </c>
      <c r="F105" s="171" t="s">
        <v>572</v>
      </c>
      <c r="G105" s="169" t="s">
        <v>501</v>
      </c>
    </row>
    <row r="106" spans="1:7" ht="19.5" customHeight="1" x14ac:dyDescent="0.25">
      <c r="A106" s="274"/>
      <c r="B106" s="274"/>
      <c r="C106" s="79" t="s">
        <v>364</v>
      </c>
      <c r="D106" s="169" t="s">
        <v>568</v>
      </c>
      <c r="E106" s="169" t="s">
        <v>570</v>
      </c>
      <c r="F106" s="171" t="s">
        <v>572</v>
      </c>
      <c r="G106" s="169" t="s">
        <v>501</v>
      </c>
    </row>
    <row r="107" spans="1:7" ht="19.5" customHeight="1" x14ac:dyDescent="0.25">
      <c r="A107" s="274"/>
      <c r="B107" s="274"/>
      <c r="C107" s="79" t="s">
        <v>365</v>
      </c>
      <c r="D107" s="169" t="s">
        <v>568</v>
      </c>
      <c r="E107" s="169" t="s">
        <v>570</v>
      </c>
      <c r="F107" s="171" t="s">
        <v>572</v>
      </c>
      <c r="G107" s="169" t="s">
        <v>501</v>
      </c>
    </row>
    <row r="108" spans="1:7" ht="19.5" customHeight="1" x14ac:dyDescent="0.25">
      <c r="A108" s="274"/>
      <c r="B108" s="274" t="s">
        <v>366</v>
      </c>
      <c r="C108" s="79" t="s">
        <v>367</v>
      </c>
      <c r="D108" s="169" t="s">
        <v>568</v>
      </c>
      <c r="E108" s="169" t="s">
        <v>570</v>
      </c>
      <c r="F108" s="171" t="s">
        <v>572</v>
      </c>
      <c r="G108" s="169" t="s">
        <v>501</v>
      </c>
    </row>
    <row r="109" spans="1:7" ht="19.5" customHeight="1" x14ac:dyDescent="0.25">
      <c r="A109" s="274"/>
      <c r="B109" s="274"/>
      <c r="C109" s="79" t="s">
        <v>368</v>
      </c>
      <c r="D109" s="169" t="s">
        <v>568</v>
      </c>
      <c r="E109" s="169" t="s">
        <v>570</v>
      </c>
      <c r="F109" s="171" t="s">
        <v>572</v>
      </c>
      <c r="G109" s="169" t="s">
        <v>501</v>
      </c>
    </row>
    <row r="110" spans="1:7" ht="19.5" customHeight="1" x14ac:dyDescent="0.25">
      <c r="A110" s="274"/>
      <c r="B110" s="274"/>
      <c r="C110" s="79" t="s">
        <v>369</v>
      </c>
      <c r="D110" s="169" t="s">
        <v>568</v>
      </c>
      <c r="E110" s="169" t="s">
        <v>570</v>
      </c>
      <c r="F110" s="171" t="s">
        <v>572</v>
      </c>
      <c r="G110" s="169" t="s">
        <v>501</v>
      </c>
    </row>
    <row r="111" spans="1:7" ht="18.649999999999999" customHeight="1" x14ac:dyDescent="0.25">
      <c r="A111" s="274"/>
      <c r="B111" s="274"/>
      <c r="C111" s="79" t="s">
        <v>370</v>
      </c>
      <c r="D111" s="169" t="s">
        <v>568</v>
      </c>
      <c r="E111" s="169" t="s">
        <v>570</v>
      </c>
      <c r="F111" s="171" t="s">
        <v>572</v>
      </c>
      <c r="G111" s="169" t="s">
        <v>501</v>
      </c>
    </row>
    <row r="112" spans="1:7" ht="18.649999999999999" customHeight="1" x14ac:dyDescent="0.25">
      <c r="A112" s="274"/>
      <c r="B112" s="274"/>
      <c r="C112" s="79" t="s">
        <v>371</v>
      </c>
      <c r="D112" s="169" t="s">
        <v>568</v>
      </c>
      <c r="E112" s="169" t="s">
        <v>570</v>
      </c>
      <c r="F112" s="171" t="s">
        <v>572</v>
      </c>
      <c r="G112" s="169" t="s">
        <v>501</v>
      </c>
    </row>
    <row r="113" spans="1:7" ht="18.649999999999999" customHeight="1" x14ac:dyDescent="0.25">
      <c r="A113" s="274" t="s">
        <v>372</v>
      </c>
      <c r="B113" s="274" t="s">
        <v>244</v>
      </c>
      <c r="C113" s="79" t="s">
        <v>373</v>
      </c>
      <c r="D113" s="169" t="s">
        <v>569</v>
      </c>
      <c r="E113" s="169" t="s">
        <v>570</v>
      </c>
      <c r="F113" s="170" t="s">
        <v>571</v>
      </c>
      <c r="G113" s="169" t="s">
        <v>502</v>
      </c>
    </row>
    <row r="114" spans="1:7" ht="18.649999999999999" customHeight="1" x14ac:dyDescent="0.25">
      <c r="A114" s="274"/>
      <c r="B114" s="274"/>
      <c r="C114" s="79" t="s">
        <v>374</v>
      </c>
      <c r="D114" s="169" t="s">
        <v>569</v>
      </c>
      <c r="E114" s="169" t="s">
        <v>570</v>
      </c>
      <c r="F114" s="170" t="s">
        <v>571</v>
      </c>
      <c r="G114" s="169" t="s">
        <v>502</v>
      </c>
    </row>
    <row r="115" spans="1:7" ht="18.649999999999999" customHeight="1" x14ac:dyDescent="0.25">
      <c r="A115" s="274"/>
      <c r="B115" s="274"/>
      <c r="C115" s="79" t="s">
        <v>375</v>
      </c>
      <c r="D115" s="169" t="s">
        <v>569</v>
      </c>
      <c r="E115" s="169" t="s">
        <v>570</v>
      </c>
      <c r="F115" s="170" t="s">
        <v>571</v>
      </c>
      <c r="G115" s="169" t="s">
        <v>502</v>
      </c>
    </row>
    <row r="116" spans="1:7" ht="18.649999999999999" customHeight="1" x14ac:dyDescent="0.25">
      <c r="A116" s="274"/>
      <c r="B116" s="274"/>
      <c r="C116" s="79" t="s">
        <v>376</v>
      </c>
      <c r="D116" s="169" t="s">
        <v>569</v>
      </c>
      <c r="E116" s="169" t="s">
        <v>570</v>
      </c>
      <c r="F116" s="170" t="s">
        <v>571</v>
      </c>
      <c r="G116" s="169" t="s">
        <v>502</v>
      </c>
    </row>
    <row r="117" spans="1:7" ht="18.649999999999999" customHeight="1" x14ac:dyDescent="0.25">
      <c r="A117" s="274"/>
      <c r="B117" s="274"/>
      <c r="C117" s="79" t="s">
        <v>377</v>
      </c>
      <c r="D117" s="169" t="s">
        <v>569</v>
      </c>
      <c r="E117" s="169" t="s">
        <v>570</v>
      </c>
      <c r="F117" s="170" t="s">
        <v>571</v>
      </c>
      <c r="G117" s="169" t="s">
        <v>502</v>
      </c>
    </row>
    <row r="118" spans="1:7" ht="18.649999999999999" customHeight="1" x14ac:dyDescent="0.25">
      <c r="A118" s="274"/>
      <c r="B118" s="274" t="s">
        <v>245</v>
      </c>
      <c r="C118" s="79" t="s">
        <v>378</v>
      </c>
      <c r="D118" s="169" t="s">
        <v>569</v>
      </c>
      <c r="E118" s="169" t="s">
        <v>570</v>
      </c>
      <c r="F118" s="170" t="s">
        <v>571</v>
      </c>
      <c r="G118" s="169" t="s">
        <v>502</v>
      </c>
    </row>
    <row r="119" spans="1:7" ht="18.649999999999999" customHeight="1" x14ac:dyDescent="0.25">
      <c r="A119" s="274"/>
      <c r="B119" s="274"/>
      <c r="C119" s="79" t="s">
        <v>379</v>
      </c>
      <c r="D119" s="169" t="s">
        <v>569</v>
      </c>
      <c r="E119" s="169" t="s">
        <v>570</v>
      </c>
      <c r="F119" s="170" t="s">
        <v>571</v>
      </c>
      <c r="G119" s="169" t="s">
        <v>502</v>
      </c>
    </row>
    <row r="120" spans="1:7" ht="18.649999999999999" customHeight="1" x14ac:dyDescent="0.25">
      <c r="A120" s="274"/>
      <c r="B120" s="274"/>
      <c r="C120" s="79" t="s">
        <v>380</v>
      </c>
      <c r="D120" s="169" t="s">
        <v>569</v>
      </c>
      <c r="E120" s="169" t="s">
        <v>570</v>
      </c>
      <c r="F120" s="170" t="s">
        <v>571</v>
      </c>
      <c r="G120" s="169" t="s">
        <v>502</v>
      </c>
    </row>
    <row r="121" spans="1:7" ht="18.649999999999999" customHeight="1" x14ac:dyDescent="0.25">
      <c r="A121" s="274"/>
      <c r="B121" s="274"/>
      <c r="C121" s="79" t="s">
        <v>381</v>
      </c>
      <c r="D121" s="169" t="s">
        <v>569</v>
      </c>
      <c r="E121" s="169" t="s">
        <v>570</v>
      </c>
      <c r="F121" s="170" t="s">
        <v>571</v>
      </c>
      <c r="G121" s="169" t="s">
        <v>502</v>
      </c>
    </row>
    <row r="122" spans="1:7" ht="18.649999999999999" customHeight="1" x14ac:dyDescent="0.25">
      <c r="A122" s="274"/>
      <c r="B122" s="274" t="s">
        <v>246</v>
      </c>
      <c r="C122" s="79" t="s">
        <v>382</v>
      </c>
      <c r="D122" s="169" t="s">
        <v>569</v>
      </c>
      <c r="E122" s="169" t="s">
        <v>570</v>
      </c>
      <c r="F122" s="170" t="s">
        <v>571</v>
      </c>
      <c r="G122" s="169" t="s">
        <v>502</v>
      </c>
    </row>
    <row r="123" spans="1:7" ht="18.649999999999999" customHeight="1" x14ac:dyDescent="0.25">
      <c r="A123" s="274"/>
      <c r="B123" s="274"/>
      <c r="C123" s="79" t="s">
        <v>383</v>
      </c>
      <c r="D123" s="169" t="s">
        <v>569</v>
      </c>
      <c r="E123" s="169" t="s">
        <v>570</v>
      </c>
      <c r="F123" s="170" t="s">
        <v>571</v>
      </c>
      <c r="G123" s="169" t="s">
        <v>502</v>
      </c>
    </row>
    <row r="124" spans="1:7" ht="18.649999999999999" customHeight="1" x14ac:dyDescent="0.25">
      <c r="A124" s="274"/>
      <c r="B124" s="274"/>
      <c r="C124" s="79" t="s">
        <v>384</v>
      </c>
      <c r="D124" s="169" t="s">
        <v>569</v>
      </c>
      <c r="E124" s="169" t="s">
        <v>570</v>
      </c>
      <c r="F124" s="170" t="s">
        <v>571</v>
      </c>
      <c r="G124" s="169" t="s">
        <v>502</v>
      </c>
    </row>
    <row r="125" spans="1:7" ht="18.649999999999999" customHeight="1" x14ac:dyDescent="0.25">
      <c r="A125" s="274"/>
      <c r="B125" s="274"/>
      <c r="C125" s="79" t="s">
        <v>385</v>
      </c>
      <c r="D125" s="169" t="s">
        <v>569</v>
      </c>
      <c r="E125" s="169" t="s">
        <v>570</v>
      </c>
      <c r="F125" s="170" t="s">
        <v>571</v>
      </c>
      <c r="G125" s="169" t="s">
        <v>502</v>
      </c>
    </row>
    <row r="126" spans="1:7" ht="18.649999999999999" customHeight="1" x14ac:dyDescent="0.25">
      <c r="A126" s="274" t="s">
        <v>386</v>
      </c>
      <c r="B126" s="274" t="s">
        <v>247</v>
      </c>
      <c r="C126" s="79" t="s">
        <v>387</v>
      </c>
      <c r="D126" s="169" t="s">
        <v>568</v>
      </c>
      <c r="E126" s="169" t="s">
        <v>570</v>
      </c>
      <c r="F126" s="171" t="s">
        <v>572</v>
      </c>
      <c r="G126" s="169" t="s">
        <v>501</v>
      </c>
    </row>
    <row r="127" spans="1:7" ht="18.649999999999999" customHeight="1" x14ac:dyDescent="0.25">
      <c r="A127" s="274"/>
      <c r="B127" s="274"/>
      <c r="C127" s="79" t="s">
        <v>388</v>
      </c>
      <c r="D127" s="169" t="s">
        <v>568</v>
      </c>
      <c r="E127" s="169" t="s">
        <v>570</v>
      </c>
      <c r="F127" s="171" t="s">
        <v>572</v>
      </c>
      <c r="G127" s="169" t="s">
        <v>501</v>
      </c>
    </row>
    <row r="128" spans="1:7" ht="18.649999999999999" customHeight="1" x14ac:dyDescent="0.25">
      <c r="A128" s="274"/>
      <c r="B128" s="274"/>
      <c r="C128" s="79" t="s">
        <v>389</v>
      </c>
      <c r="D128" s="169" t="s">
        <v>568</v>
      </c>
      <c r="E128" s="169" t="s">
        <v>570</v>
      </c>
      <c r="F128" s="171" t="s">
        <v>572</v>
      </c>
      <c r="G128" s="169" t="s">
        <v>501</v>
      </c>
    </row>
    <row r="129" spans="1:7" ht="18.649999999999999" customHeight="1" x14ac:dyDescent="0.25">
      <c r="A129" s="274"/>
      <c r="B129" s="274" t="s">
        <v>248</v>
      </c>
      <c r="C129" s="79" t="s">
        <v>390</v>
      </c>
      <c r="D129" s="169" t="s">
        <v>569</v>
      </c>
      <c r="E129" s="169" t="s">
        <v>570</v>
      </c>
      <c r="F129" s="170" t="s">
        <v>573</v>
      </c>
      <c r="G129" s="169" t="s">
        <v>502</v>
      </c>
    </row>
    <row r="130" spans="1:7" ht="18.649999999999999" customHeight="1" x14ac:dyDescent="0.25">
      <c r="A130" s="274"/>
      <c r="B130" s="274"/>
      <c r="C130" s="79" t="s">
        <v>391</v>
      </c>
      <c r="D130" s="169" t="s">
        <v>569</v>
      </c>
      <c r="E130" s="169" t="s">
        <v>570</v>
      </c>
      <c r="F130" s="170" t="s">
        <v>573</v>
      </c>
      <c r="G130" s="169" t="s">
        <v>502</v>
      </c>
    </row>
    <row r="131" spans="1:7" ht="18.649999999999999" customHeight="1" x14ac:dyDescent="0.25">
      <c r="A131" s="274"/>
      <c r="B131" s="274"/>
      <c r="C131" s="79" t="s">
        <v>392</v>
      </c>
      <c r="D131" s="169" t="s">
        <v>569</v>
      </c>
      <c r="E131" s="169" t="s">
        <v>570</v>
      </c>
      <c r="F131" s="170" t="s">
        <v>573</v>
      </c>
      <c r="G131" s="169" t="s">
        <v>502</v>
      </c>
    </row>
    <row r="132" spans="1:7" ht="18.649999999999999" customHeight="1" x14ac:dyDescent="0.25">
      <c r="A132" s="274"/>
      <c r="B132" s="274"/>
      <c r="C132" s="79" t="s">
        <v>393</v>
      </c>
      <c r="D132" s="169" t="s">
        <v>569</v>
      </c>
      <c r="E132" s="169" t="s">
        <v>570</v>
      </c>
      <c r="F132" s="170" t="s">
        <v>573</v>
      </c>
      <c r="G132" s="169" t="s">
        <v>502</v>
      </c>
    </row>
    <row r="133" spans="1:7" ht="18.649999999999999" customHeight="1" x14ac:dyDescent="0.25">
      <c r="A133" s="274"/>
      <c r="B133" s="274"/>
      <c r="C133" s="79" t="s">
        <v>394</v>
      </c>
      <c r="D133" s="169" t="s">
        <v>569</v>
      </c>
      <c r="E133" s="169" t="s">
        <v>570</v>
      </c>
      <c r="F133" s="170" t="s">
        <v>573</v>
      </c>
      <c r="G133" s="169" t="s">
        <v>502</v>
      </c>
    </row>
    <row r="134" spans="1:7" ht="18.649999999999999" customHeight="1" x14ac:dyDescent="0.25">
      <c r="A134" s="274"/>
      <c r="B134" s="274" t="s">
        <v>249</v>
      </c>
      <c r="C134" s="79" t="s">
        <v>395</v>
      </c>
      <c r="D134" s="169" t="s">
        <v>569</v>
      </c>
      <c r="E134" s="169" t="s">
        <v>570</v>
      </c>
      <c r="F134" s="170" t="s">
        <v>574</v>
      </c>
      <c r="G134" s="169" t="s">
        <v>502</v>
      </c>
    </row>
    <row r="135" spans="1:7" ht="18.649999999999999" customHeight="1" x14ac:dyDescent="0.25">
      <c r="A135" s="274"/>
      <c r="B135" s="274"/>
      <c r="C135" s="79" t="s">
        <v>396</v>
      </c>
      <c r="D135" s="169" t="s">
        <v>569</v>
      </c>
      <c r="E135" s="169" t="s">
        <v>570</v>
      </c>
      <c r="F135" s="170" t="s">
        <v>574</v>
      </c>
      <c r="G135" s="169" t="s">
        <v>502</v>
      </c>
    </row>
    <row r="136" spans="1:7" ht="18.649999999999999" customHeight="1" x14ac:dyDescent="0.25">
      <c r="A136" s="274"/>
      <c r="B136" s="274"/>
      <c r="C136" s="79" t="s">
        <v>397</v>
      </c>
      <c r="D136" s="169" t="s">
        <v>569</v>
      </c>
      <c r="E136" s="169" t="s">
        <v>570</v>
      </c>
      <c r="F136" s="170" t="s">
        <v>575</v>
      </c>
      <c r="G136" s="169" t="s">
        <v>502</v>
      </c>
    </row>
  </sheetData>
  <mergeCells count="41">
    <mergeCell ref="A3:A10"/>
    <mergeCell ref="B3:B6"/>
    <mergeCell ref="B7:B10"/>
    <mergeCell ref="A11:A27"/>
    <mergeCell ref="B11:B15"/>
    <mergeCell ref="B16:B17"/>
    <mergeCell ref="B18:B21"/>
    <mergeCell ref="B22:B25"/>
    <mergeCell ref="B26:B27"/>
    <mergeCell ref="B39:B43"/>
    <mergeCell ref="B44:B47"/>
    <mergeCell ref="B48:B53"/>
    <mergeCell ref="B54:B59"/>
    <mergeCell ref="B60:B63"/>
    <mergeCell ref="A126:A136"/>
    <mergeCell ref="B126:B128"/>
    <mergeCell ref="B129:B133"/>
    <mergeCell ref="B134:B136"/>
    <mergeCell ref="A87:A96"/>
    <mergeCell ref="B87:B92"/>
    <mergeCell ref="B93:B96"/>
    <mergeCell ref="A97:A112"/>
    <mergeCell ref="B97:B101"/>
    <mergeCell ref="B102:B107"/>
    <mergeCell ref="B108:B112"/>
    <mergeCell ref="A1:G1"/>
    <mergeCell ref="A113:A125"/>
    <mergeCell ref="B113:B117"/>
    <mergeCell ref="B118:B121"/>
    <mergeCell ref="B122:B125"/>
    <mergeCell ref="B64:B67"/>
    <mergeCell ref="A68:A86"/>
    <mergeCell ref="B68:B74"/>
    <mergeCell ref="B75:B77"/>
    <mergeCell ref="B78:B83"/>
    <mergeCell ref="B84:B86"/>
    <mergeCell ref="A28:A38"/>
    <mergeCell ref="B28:B31"/>
    <mergeCell ref="B32:B34"/>
    <mergeCell ref="B35:B38"/>
    <mergeCell ref="A39:A67"/>
  </mergeCells>
  <phoneticPr fontId="2" type="noConversion"/>
  <printOptions horizontalCentered="1"/>
  <pageMargins left="0.25" right="0.25" top="0.75" bottom="0.75" header="0.3" footer="0.3"/>
  <pageSetup paperSize="9" scale="74" fitToHeight="0" orientation="landscape" r:id="rId1"/>
  <headerFooter>
    <oddHeader>&amp;L&amp;G&amp;R&amp;"+,보통"&amp;10&amp;F</oddHeader>
    <oddFooter>&amp;L&amp;"+,보통"&amp;10마이데이터 지원 플랫폼 구축(2차)&amp;R&amp;G</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구분선택!$A$1:$A$3</xm:f>
          </x14:formula1>
          <xm:sqref>G3:G136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3"/>
  <sheetViews>
    <sheetView workbookViewId="0"/>
  </sheetViews>
  <sheetFormatPr defaultColWidth="8.9140625" defaultRowHeight="16" x14ac:dyDescent="0.25"/>
  <cols>
    <col min="1" max="16384" width="8.9140625" style="118"/>
  </cols>
  <sheetData>
    <row r="1" spans="1:1" x14ac:dyDescent="0.25">
      <c r="A1" s="118" t="s">
        <v>203</v>
      </c>
    </row>
    <row r="2" spans="1:1" x14ac:dyDescent="0.25">
      <c r="A2" s="118" t="s">
        <v>179</v>
      </c>
    </row>
    <row r="3" spans="1:1" x14ac:dyDescent="0.25">
      <c r="A3" s="118" t="s">
        <v>178</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9"/>
  <sheetViews>
    <sheetView workbookViewId="0">
      <selection activeCell="C6" sqref="C6"/>
    </sheetView>
  </sheetViews>
  <sheetFormatPr defaultRowHeight="14" x14ac:dyDescent="0.25"/>
  <cols>
    <col min="1" max="1" width="19" customWidth="1"/>
    <col min="2" max="2" width="9.08203125" customWidth="1"/>
  </cols>
  <sheetData>
    <row r="1" spans="1:3" ht="26" x14ac:dyDescent="0.25">
      <c r="A1" s="44" t="s">
        <v>185</v>
      </c>
      <c r="B1" s="45" t="s">
        <v>183</v>
      </c>
      <c r="C1" s="45" t="s">
        <v>186</v>
      </c>
    </row>
    <row r="2" spans="1:3" x14ac:dyDescent="0.25">
      <c r="A2" s="39" t="s">
        <v>188</v>
      </c>
      <c r="B2" s="43" t="s">
        <v>195</v>
      </c>
      <c r="C2" s="43" t="s">
        <v>180</v>
      </c>
    </row>
    <row r="3" spans="1:3" x14ac:dyDescent="0.25">
      <c r="A3" s="39" t="s">
        <v>181</v>
      </c>
      <c r="B3" s="43" t="s">
        <v>191</v>
      </c>
      <c r="C3" s="43" t="s">
        <v>180</v>
      </c>
    </row>
    <row r="4" spans="1:3" x14ac:dyDescent="0.25">
      <c r="A4" s="1"/>
      <c r="B4" s="3"/>
      <c r="C4" s="3"/>
    </row>
    <row r="5" spans="1:3" x14ac:dyDescent="0.25">
      <c r="A5" s="1"/>
      <c r="B5" s="3"/>
      <c r="C5" s="3"/>
    </row>
    <row r="6" spans="1:3" x14ac:dyDescent="0.25">
      <c r="A6" s="1" t="s">
        <v>187</v>
      </c>
      <c r="B6" t="s">
        <v>189</v>
      </c>
      <c r="C6" s="1" t="s">
        <v>196</v>
      </c>
    </row>
    <row r="7" spans="1:3" x14ac:dyDescent="0.25">
      <c r="B7" t="s">
        <v>190</v>
      </c>
      <c r="C7" s="46" t="s">
        <v>194</v>
      </c>
    </row>
    <row r="8" spans="1:3" x14ac:dyDescent="0.25">
      <c r="A8" t="s">
        <v>193</v>
      </c>
      <c r="B8" t="s">
        <v>189</v>
      </c>
      <c r="C8" t="s">
        <v>192</v>
      </c>
    </row>
    <row r="9" spans="1:3" x14ac:dyDescent="0.25">
      <c r="B9" t="s">
        <v>190</v>
      </c>
      <c r="C9" t="s">
        <v>197</v>
      </c>
    </row>
  </sheetData>
  <phoneticPr fontId="2" type="noConversion"/>
  <hyperlinks>
    <hyperlink ref="C7" r:id="rId1" xr:uid="{00000000-0004-0000-0F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3"/>
  <sheetViews>
    <sheetView workbookViewId="0">
      <selection activeCell="B3" sqref="B3"/>
    </sheetView>
  </sheetViews>
  <sheetFormatPr defaultRowHeight="14" x14ac:dyDescent="0.25"/>
  <sheetData>
    <row r="1" spans="1:1" x14ac:dyDescent="0.25">
      <c r="A1" s="53" t="s">
        <v>202</v>
      </c>
    </row>
    <row r="2" spans="1:1" x14ac:dyDescent="0.25">
      <c r="A2" s="53" t="s">
        <v>201</v>
      </c>
    </row>
    <row r="3" spans="1:1" x14ac:dyDescent="0.25">
      <c r="A3" s="53" t="s">
        <v>179</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4"/>
  <sheetViews>
    <sheetView workbookViewId="0">
      <selection activeCell="E8" sqref="E8"/>
    </sheetView>
  </sheetViews>
  <sheetFormatPr defaultRowHeight="14" x14ac:dyDescent="0.25"/>
  <sheetData>
    <row r="1" spans="1:1" x14ac:dyDescent="0.25">
      <c r="A1" t="s">
        <v>0</v>
      </c>
    </row>
    <row r="2" spans="1:1" x14ac:dyDescent="0.25">
      <c r="A2" t="s">
        <v>203</v>
      </c>
    </row>
    <row r="3" spans="1:1" x14ac:dyDescent="0.25">
      <c r="A3" t="s">
        <v>179</v>
      </c>
    </row>
    <row r="4" spans="1:1" x14ac:dyDescent="0.25">
      <c r="A4" t="s">
        <v>178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 지정된 범위</vt:lpstr>
      </vt:variant>
      <vt:variant>
        <vt:i4>12</vt:i4>
      </vt:variant>
    </vt:vector>
  </HeadingPairs>
  <TitlesOfParts>
    <vt:vector size="28" baseType="lpstr">
      <vt:lpstr>웹접근성체크리스트</vt:lpstr>
      <vt:lpstr>웹접근성체크리스트_Flex포함</vt:lpstr>
      <vt:lpstr>표지</vt:lpstr>
      <vt:lpstr>개정이력</vt:lpstr>
      <vt:lpstr>웹사이트 품질진단(종합)</vt:lpstr>
      <vt:lpstr>1.호환성</vt:lpstr>
      <vt:lpstr>1.호환성(모바일)</vt:lpstr>
      <vt:lpstr>2.접근성</vt:lpstr>
      <vt:lpstr>2.접근성(모바일)</vt:lpstr>
      <vt:lpstr>3.개방성</vt:lpstr>
      <vt:lpstr>4.접속성</vt:lpstr>
      <vt:lpstr>5.편의성</vt:lpstr>
      <vt:lpstr>구분선택</vt:lpstr>
      <vt:lpstr>CSS_Markup 유효성검사</vt:lpstr>
      <vt:lpstr>Sheet1</vt:lpstr>
      <vt:lpstr>Sheet9</vt:lpstr>
      <vt:lpstr>'1.호환성'!Print_Area</vt:lpstr>
      <vt:lpstr>'1.호환성(모바일)'!Print_Area</vt:lpstr>
      <vt:lpstr>'2.접근성'!Print_Area</vt:lpstr>
      <vt:lpstr>'2.접근성(모바일)'!Print_Area</vt:lpstr>
      <vt:lpstr>'3.개방성'!Print_Area</vt:lpstr>
      <vt:lpstr>'4.접속성'!Print_Area</vt:lpstr>
      <vt:lpstr>'5.편의성'!Print_Area</vt:lpstr>
      <vt:lpstr>'웹사이트 품질진단(종합)'!Print_Area</vt:lpstr>
      <vt:lpstr>웹접근성체크리스트!Print_Area</vt:lpstr>
      <vt:lpstr>웹접근성체크리스트!Print_Titles</vt:lpstr>
      <vt:lpstr>결과_값</vt:lpstr>
      <vt:lpstr>구분</vt:lpstr>
    </vt:vector>
  </TitlesOfParts>
  <Manager>프로젝트명</Manager>
  <Company>(주)솔리데오시스템즈</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웹사이트 품질진단 결과서</dc:title>
  <dc:subject>QMS-PI-FM-06</dc:subject>
  <dc:creator>작성자</dc:creator>
  <cp:keywords>YYYY-MM-DD</cp:keywords>
  <dc:description>㈜솔리데오시스템즈의 사전승인 없이 본 내용의 전부 또는 일부에 대한 복사, 전재, 배포, 사용을 금합니다.</dc:description>
  <cp:lastModifiedBy>류보희</cp:lastModifiedBy>
  <cp:lastPrinted>2025-08-27T01:37:54Z</cp:lastPrinted>
  <dcterms:created xsi:type="dcterms:W3CDTF">2005-11-15T07:23:04Z</dcterms:created>
  <dcterms:modified xsi:type="dcterms:W3CDTF">2025-12-22T07:27:20Z</dcterms:modified>
  <cp:category>1.0</cp:category>
</cp:coreProperties>
</file>